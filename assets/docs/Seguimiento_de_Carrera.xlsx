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reutn-my.sharepoint.com/personal/lautyyzalazar2_ca_frre_utn_edu_ar/Documents/UTN/"/>
    </mc:Choice>
  </mc:AlternateContent>
  <xr:revisionPtr revIDLastSave="0" documentId="8_{97B535F0-D1C1-49FE-ADEB-99B00EA5739A}" xr6:coauthVersionLast="47" xr6:coauthVersionMax="47" xr10:uidLastSave="{00000000-0000-0000-0000-000000000000}"/>
  <bookViews>
    <workbookView xWindow="-120" yWindow="-120" windowWidth="29040" windowHeight="16440" xr2:uid="{3EE8B6AE-4571-404E-BC87-750763CF3DE4}"/>
  </bookViews>
  <sheets>
    <sheet name="Seguimiento" sheetId="1" r:id="rId1"/>
    <sheet name="Finales" sheetId="3" r:id="rId2"/>
    <sheet name="Nota al Estudiante" sheetId="4" r:id="rId3"/>
    <sheet name="Datos" sheetId="2" state="hidden" r:id="rId4"/>
  </sheets>
  <definedNames>
    <definedName name="_xlnm.Print_Area" localSheetId="0">Seguimiento!$A$1:$I$52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I53" i="1" l="1"/>
  <c r="I54" i="1"/>
  <c r="I58" i="1"/>
  <c r="I59" i="1"/>
  <c r="I60" i="1"/>
  <c r="I62" i="1"/>
  <c r="I63" i="1"/>
  <c r="I65" i="1"/>
  <c r="E7" i="1"/>
  <c r="I7" i="1" a="1"/>
  <c r="I7" i="1" s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6" i="1"/>
  <c r="G57" i="1"/>
  <c r="G58" i="1"/>
  <c r="G59" i="1"/>
  <c r="G60" i="1"/>
  <c r="G61" i="1"/>
  <c r="G62" i="1"/>
  <c r="G63" i="1"/>
  <c r="G64" i="1"/>
  <c r="G65" i="1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G14" i="1" s="1"/>
  <c r="E6" i="3"/>
  <c r="G13" i="1" s="1"/>
  <c r="E5" i="3"/>
  <c r="G12" i="1" s="1"/>
  <c r="H65" i="1"/>
  <c r="H63" i="1"/>
  <c r="H62" i="1"/>
  <c r="H60" i="1"/>
  <c r="H59" i="1"/>
  <c r="H58" i="1"/>
  <c r="I5" i="1" a="1"/>
  <c r="I5" i="1" s="1"/>
  <c r="D58" i="3"/>
  <c r="E5" i="1"/>
  <c r="C5" i="1"/>
  <c r="A5" i="1"/>
  <c r="D57" i="3"/>
  <c r="D56" i="3"/>
  <c r="D55" i="3"/>
  <c r="D54" i="3"/>
  <c r="D53" i="3"/>
  <c r="D52" i="3"/>
  <c r="D51" i="3"/>
  <c r="D50" i="3"/>
  <c r="D49" i="3"/>
  <c r="D48" i="3"/>
  <c r="D47" i="3"/>
  <c r="D46" i="3"/>
  <c r="H54" i="1"/>
  <c r="H53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5" i="3"/>
  <c r="I27" i="1"/>
  <c r="I19" i="1"/>
  <c r="I18" i="1"/>
  <c r="I17" i="1"/>
  <c r="I16" i="1"/>
  <c r="I15" i="1"/>
  <c r="I14" i="1"/>
  <c r="I13" i="1"/>
  <c r="I12" i="1"/>
  <c r="H27" i="1"/>
  <c r="H19" i="1"/>
  <c r="H18" i="1"/>
  <c r="H17" i="1"/>
  <c r="H16" i="1"/>
  <c r="H15" i="1"/>
  <c r="H14" i="1"/>
  <c r="H13" i="1"/>
  <c r="H12" i="1"/>
  <c r="A3" i="2"/>
  <c r="A4" i="2"/>
  <c r="A5" i="2"/>
  <c r="A6" i="2"/>
  <c r="H24" i="1" s="1"/>
  <c r="I24" i="1" s="1"/>
  <c r="A7" i="2"/>
  <c r="H25" i="1" s="1"/>
  <c r="I25" i="1" s="1"/>
  <c r="A8" i="2"/>
  <c r="A9" i="2"/>
  <c r="A10" i="2"/>
  <c r="H57" i="1" s="1"/>
  <c r="I57" i="1" s="1"/>
  <c r="A11" i="2"/>
  <c r="A12" i="2"/>
  <c r="H50" i="1" s="1"/>
  <c r="I50" i="1" s="1"/>
  <c r="A13" i="2"/>
  <c r="A14" i="2"/>
  <c r="A15" i="2"/>
  <c r="A16" i="2"/>
  <c r="A17" i="2"/>
  <c r="H37" i="1" s="1"/>
  <c r="I37" i="1" s="1"/>
  <c r="A18" i="2"/>
  <c r="A19" i="2"/>
  <c r="A20" i="2"/>
  <c r="A21" i="2"/>
  <c r="A22" i="2"/>
  <c r="A23" i="2"/>
  <c r="A24" i="2"/>
  <c r="A25" i="2"/>
  <c r="A26" i="2"/>
  <c r="A27" i="2"/>
  <c r="A28" i="2"/>
  <c r="H52" i="1" s="1"/>
  <c r="I52" i="1" s="1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2" i="2"/>
  <c r="H55" i="1" l="1"/>
  <c r="I55" i="1" s="1"/>
  <c r="H56" i="1"/>
  <c r="I56" i="1" s="1"/>
  <c r="H61" i="1"/>
  <c r="I61" i="1" s="1"/>
  <c r="H64" i="1"/>
  <c r="I64" i="1" s="1"/>
  <c r="H51" i="1"/>
  <c r="I51" i="1" s="1"/>
  <c r="H26" i="1"/>
  <c r="I26" i="1" s="1"/>
  <c r="G7" i="1" a="1"/>
  <c r="G7" i="1" s="1"/>
  <c r="G5" i="1"/>
  <c r="H42" i="1"/>
  <c r="I42" i="1" s="1"/>
  <c r="H38" i="1"/>
  <c r="I38" i="1" s="1"/>
  <c r="H22" i="1"/>
  <c r="I22" i="1" s="1"/>
  <c r="H23" i="1"/>
  <c r="I23" i="1" s="1"/>
  <c r="H35" i="1"/>
  <c r="I35" i="1" s="1"/>
  <c r="H48" i="1"/>
  <c r="I48" i="1" s="1"/>
  <c r="H34" i="1"/>
  <c r="I34" i="1" s="1"/>
  <c r="H49" i="1"/>
  <c r="I49" i="1" s="1"/>
  <c r="H46" i="1"/>
  <c r="I46" i="1" s="1"/>
  <c r="H39" i="1"/>
  <c r="I39" i="1" s="1"/>
  <c r="H30" i="1"/>
  <c r="I30" i="1" s="1"/>
  <c r="H36" i="1"/>
  <c r="I36" i="1" s="1"/>
  <c r="H29" i="1"/>
  <c r="I29" i="1" s="1"/>
  <c r="H41" i="1"/>
  <c r="I41" i="1" s="1"/>
  <c r="H31" i="1"/>
  <c r="H43" i="1"/>
  <c r="I43" i="1" s="1"/>
  <c r="H20" i="1"/>
  <c r="I20" i="1" s="1"/>
  <c r="H32" i="1"/>
  <c r="I32" i="1" s="1"/>
  <c r="H44" i="1"/>
  <c r="I44" i="1" s="1"/>
  <c r="H40" i="1"/>
  <c r="I40" i="1" s="1"/>
  <c r="H21" i="1"/>
  <c r="I21" i="1" s="1"/>
  <c r="H33" i="1"/>
  <c r="I33" i="1" s="1"/>
  <c r="H45" i="1"/>
  <c r="I45" i="1" s="1"/>
  <c r="H28" i="1"/>
  <c r="I28" i="1" s="1"/>
  <c r="H47" i="1"/>
  <c r="I47" i="1" s="1"/>
  <c r="I31" i="1" l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<sst xmlns="http://schemas.openxmlformats.org/spreadsheetml/2006/main" count="516" uniqueCount="188">
  <si>
    <t>N°</t>
  </si>
  <si>
    <t>Asignatura</t>
  </si>
  <si>
    <t>Cursadas Requeridas</t>
  </si>
  <si>
    <t>Aprobadas Requeridas</t>
  </si>
  <si>
    <t>I</t>
  </si>
  <si>
    <t>Introducción a la Ingeniería Química</t>
  </si>
  <si>
    <t>-</t>
  </si>
  <si>
    <t>Ingeniería y Sociedad</t>
  </si>
  <si>
    <t>Álgebra y Geometría Analítica</t>
  </si>
  <si>
    <t>Análisis Matemático I</t>
  </si>
  <si>
    <t>Física I</t>
  </si>
  <si>
    <t>Química</t>
  </si>
  <si>
    <t>Sistemas de Representación</t>
  </si>
  <si>
    <t>Fundamentos de Informática</t>
  </si>
  <si>
    <t>Introducción a Equipos y Procesos</t>
  </si>
  <si>
    <t>1,6</t>
  </si>
  <si>
    <t>Probabilidad y Estadística</t>
  </si>
  <si>
    <t>3,4</t>
  </si>
  <si>
    <t>Química Inorgánica</t>
  </si>
  <si>
    <t>Análisis Matemático II</t>
  </si>
  <si>
    <t>II</t>
  </si>
  <si>
    <t>Física II</t>
  </si>
  <si>
    <t>4,5</t>
  </si>
  <si>
    <t>Química Orgánica</t>
  </si>
  <si>
    <t>Legislación</t>
  </si>
  <si>
    <t>1,2</t>
  </si>
  <si>
    <t>Inglés I</t>
  </si>
  <si>
    <t>Balances de Masa y Energía</t>
  </si>
  <si>
    <t>6,7,8,9,13</t>
  </si>
  <si>
    <t>1,3,4</t>
  </si>
  <si>
    <t>Termodinámica</t>
  </si>
  <si>
    <t>11,12,13</t>
  </si>
  <si>
    <t>4,6</t>
  </si>
  <si>
    <t>Matemática Superior Aplicada</t>
  </si>
  <si>
    <t>Ciencia de los Materiales</t>
  </si>
  <si>
    <t>9,11,14</t>
  </si>
  <si>
    <t>Fisicoquímica</t>
  </si>
  <si>
    <t>9,12,13</t>
  </si>
  <si>
    <t>3,4,6</t>
  </si>
  <si>
    <t>III</t>
  </si>
  <si>
    <t>Fenómenos de Transporte</t>
  </si>
  <si>
    <t>Química Analítica</t>
  </si>
  <si>
    <t>10,11,14</t>
  </si>
  <si>
    <t>2,6</t>
  </si>
  <si>
    <t>Microbiología y Química Biológica</t>
  </si>
  <si>
    <t>11,14</t>
  </si>
  <si>
    <t>Química Aplicada</t>
  </si>
  <si>
    <t>9,11,13,14</t>
  </si>
  <si>
    <t>1,2,6,40</t>
  </si>
  <si>
    <t>Inglés II</t>
  </si>
  <si>
    <t>IV</t>
  </si>
  <si>
    <t>Diseño, simulación, optimización y seguridad</t>
  </si>
  <si>
    <t>16,18</t>
  </si>
  <si>
    <t>7,8,9,12,41</t>
  </si>
  <si>
    <t>Operaciones Unitarias I</t>
  </si>
  <si>
    <t>16,17,21</t>
  </si>
  <si>
    <t>Tecnología de la Energía Térmica</t>
  </si>
  <si>
    <t>16,17,20,21</t>
  </si>
  <si>
    <t>Economía</t>
  </si>
  <si>
    <t>2,3</t>
  </si>
  <si>
    <t>Operaciones Unitarias II</t>
  </si>
  <si>
    <t>17,20,21</t>
  </si>
  <si>
    <t>9,12,13,14</t>
  </si>
  <si>
    <t>Ingeniería de las Reacciones Químicas</t>
  </si>
  <si>
    <t>11,12,14</t>
  </si>
  <si>
    <t>Calidad y Control Estadístico de Procesos</t>
  </si>
  <si>
    <t>Organización Industrial</t>
  </si>
  <si>
    <t>2,9,15</t>
  </si>
  <si>
    <t>V</t>
  </si>
  <si>
    <t>Control Automático de Procesos</t>
  </si>
  <si>
    <t>25,29</t>
  </si>
  <si>
    <t>16,18,22</t>
  </si>
  <si>
    <t>Mecánica Industrial</t>
  </si>
  <si>
    <t>9,20</t>
  </si>
  <si>
    <t>5,11,19</t>
  </si>
  <si>
    <t>Ingeniería Ambiental</t>
  </si>
  <si>
    <t>24,26,29,30</t>
  </si>
  <si>
    <t>15,16,22</t>
  </si>
  <si>
    <t>Procesos Biotecnológicos</t>
  </si>
  <si>
    <t>16,20,21,23</t>
  </si>
  <si>
    <t>Higiene y Seguridad en el Trabajo</t>
  </si>
  <si>
    <t>11,14,16</t>
  </si>
  <si>
    <t>Máquinas e Instalaciones Eléctricas</t>
  </si>
  <si>
    <t>9,13</t>
  </si>
  <si>
    <t>Proyecto Final</t>
  </si>
  <si>
    <t>25,26,27,29,30,32</t>
  </si>
  <si>
    <t>16,20,21,24,28</t>
  </si>
  <si>
    <t>Fila Seguimiento</t>
  </si>
  <si>
    <t>1, 6</t>
  </si>
  <si>
    <t>3, 4</t>
  </si>
  <si>
    <t>4, 5</t>
  </si>
  <si>
    <t>1, 2</t>
  </si>
  <si>
    <t>6, 7, 8, 9, 13</t>
  </si>
  <si>
    <t>1, 3, 4</t>
  </si>
  <si>
    <t>11, 12, 13</t>
  </si>
  <si>
    <t>4, 6</t>
  </si>
  <si>
    <t>9, 11, 14</t>
  </si>
  <si>
    <t>9, 12, 13</t>
  </si>
  <si>
    <t>3, 4, 6</t>
  </si>
  <si>
    <t>10, 11, 14</t>
  </si>
  <si>
    <t>2, 6</t>
  </si>
  <si>
    <t>11, 14</t>
  </si>
  <si>
    <t>9, 11, 13, 14</t>
  </si>
  <si>
    <t>1, 2, 6, 40</t>
  </si>
  <si>
    <t>16, 18</t>
  </si>
  <si>
    <t>7, 8, 9, 12, 41</t>
  </si>
  <si>
    <t>16, 17, 21</t>
  </si>
  <si>
    <t>16, 17, 20, 21</t>
  </si>
  <si>
    <t>2, 3</t>
  </si>
  <si>
    <t>17, 20, 21</t>
  </si>
  <si>
    <t>9, 12, 13, 14</t>
  </si>
  <si>
    <t>11, 12, 14</t>
  </si>
  <si>
    <t>2, 9, 15</t>
  </si>
  <si>
    <t>25, 29</t>
  </si>
  <si>
    <t>16, 18, 22</t>
  </si>
  <si>
    <t>9, 20</t>
  </si>
  <si>
    <t>5, 11, 19</t>
  </si>
  <si>
    <t>24, 26, 29, 30</t>
  </si>
  <si>
    <t>15, 16, 22</t>
  </si>
  <si>
    <t>16, 20, 21, 23</t>
  </si>
  <si>
    <t>11, 14, 16</t>
  </si>
  <si>
    <t>9, 13</t>
  </si>
  <si>
    <t>25, 26, 27, 29, 30, 32</t>
  </si>
  <si>
    <t>16, 20, 21, 24, 28</t>
  </si>
  <si>
    <t>🎓  SEGUIMIENTO DE CARRERA — INGENIERÍA QUÍMICA</t>
  </si>
  <si>
    <t>Plan 2023  •  UTN — Facultad Regional Resistencia</t>
  </si>
  <si>
    <t>✅ APROBADAS</t>
  </si>
  <si>
    <t>📋 REGULARES</t>
  </si>
  <si>
    <t>📈 AVANCE</t>
  </si>
  <si>
    <t>NIVEL</t>
  </si>
  <si>
    <t>ASIGNATURA</t>
  </si>
  <si>
    <t>CURSADAS REQ.</t>
  </si>
  <si>
    <t>APROBADAS REQ.</t>
  </si>
  <si>
    <t>NOTA FINAL</t>
  </si>
  <si>
    <t>ESTADO</t>
  </si>
  <si>
    <t>DISPONIBLE</t>
  </si>
  <si>
    <t>MATERIAS FALTANTES PARA HABILITAR</t>
  </si>
  <si>
    <t>📝  REGISTRO DE EXÁMENES FINALES</t>
  </si>
  <si>
    <t>Ingrese las notas de cada intento de final. Se aprueba con 6. Máximo 4 instancias por materia en condición regular.</t>
  </si>
  <si>
    <t>FECHA 1°</t>
  </si>
  <si>
    <t>FECHA 2°</t>
  </si>
  <si>
    <t>FECHA 3°</t>
  </si>
  <si>
    <t>FECHA 4°</t>
  </si>
  <si>
    <t>📊 PROM. SIN APLAZOS</t>
  </si>
  <si>
    <t>📉 PROM. CON APLAZOS</t>
  </si>
  <si>
    <t>Estado Efectivo</t>
  </si>
  <si>
    <t>No Cursada</t>
  </si>
  <si>
    <t>💡 Columna "ESTADO" (F): seleccione del menú desplegable  •  Columna "NOTA FINAL" (G): ingrese la nota del examen final (1-10)</t>
  </si>
  <si>
    <t>1° NOTA</t>
  </si>
  <si>
    <t>2° NOTA</t>
  </si>
  <si>
    <t>3° NOTA</t>
  </si>
  <si>
    <t>4° NOTA</t>
  </si>
  <si>
    <t>X</t>
  </si>
  <si>
    <t>Comunicación Lingüística (Elect.)</t>
  </si>
  <si>
    <t>Prácticas de Laboratorio (Elect.)</t>
  </si>
  <si>
    <t>Formación de Emprendedores (Elect.)</t>
  </si>
  <si>
    <t>Gestión de Recursos Humanos (Elect.)</t>
  </si>
  <si>
    <t>Gestión de Residuos (Elect.)</t>
  </si>
  <si>
    <t>Química de los Alimentos (Elect.)</t>
  </si>
  <si>
    <t>Administración de Negocios (Elect.)</t>
  </si>
  <si>
    <t>Energías Renovables (Elect.)</t>
  </si>
  <si>
    <t>Ingeniería de las Instalaciones (Elect.)</t>
  </si>
  <si>
    <t>Tecnología de los Alimentos (Elect.)</t>
  </si>
  <si>
    <t>Métodos Emergentes de Preservación de AI (Elect.)</t>
  </si>
  <si>
    <t>CARGA HORARIA</t>
  </si>
  <si>
    <t>❌ NO CURSADAS / CURSANDO</t>
  </si>
  <si>
    <t>🟢 DISPONIBLES PARA CURSAR</t>
  </si>
  <si>
    <t>📚 HS. ELECT. APROBADAS</t>
  </si>
  <si>
    <t>📊 % ELECT. COMPLETADAS</t>
  </si>
  <si>
    <t>FECHA 5°</t>
  </si>
  <si>
    <t>5° NOTA</t>
  </si>
  <si>
    <t>FECHA 6°</t>
  </si>
  <si>
    <t>6° NOTA</t>
  </si>
  <si>
    <t>Estudios y Análisis de Procesos de Trabajo (Elect.)</t>
  </si>
  <si>
    <t>28, 15</t>
  </si>
  <si>
    <t>28, 32</t>
  </si>
  <si>
    <t>14, 22</t>
  </si>
  <si>
    <t>29, 30, 31</t>
  </si>
  <si>
    <t>26, 29, 27, 30</t>
  </si>
  <si>
    <t>17, 20</t>
  </si>
  <si>
    <t>26, 25</t>
  </si>
  <si>
    <t>7, 41</t>
  </si>
  <si>
    <t>29, 20</t>
  </si>
  <si>
    <t>25, 26, 27, 28, 29, 30, 31, 32</t>
  </si>
  <si>
    <t>📝  NOTA AL ESTUDIANTE</t>
  </si>
  <si>
    <t>Seguimiento de Carrera — Ingeniería Química  •  UTN FRRe</t>
  </si>
  <si>
    <t>Métodos Emergentes de Preservación de AIimentos (Elect.)</t>
  </si>
  <si>
    <t>Procedimientos y Normativas en Alimentos (Elect.)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</si>
</sst>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/mm/yyyy"/>
    <numFmt numFmtId="166" formatCode="0&quot; / 24&quot;"/>
  </numFmts>
  <fonts count="4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</font>
    <font>
      <sz val="10"/>
      <color rgb="FF000000"/>
      <name val="Calibri"/>
    </font>
    <font>
      <sz val="8"/>
      <color rgb="FF94A3B8"/>
      <name val="Calibri"/>
    </font>
    <font>
      <sz val="11"/>
      <color rgb="FF141413"/>
      <name val="Calibri"/>
    </font>
    <font>
      <b/>
      <sz val="16"/>
      <color rgb="FFFFFFFF"/>
      <name val="Calibri"/>
    </font>
    <font>
      <i/>
      <sz val="10"/>
      <color rgb="FFCBD5E1"/>
      <name val="Calibri"/>
    </font>
    <font>
      <i/>
      <sz val="8"/>
      <color rgb="FF64748B"/>
      <name val="Calibri"/>
    </font>
    <font>
      <b/>
      <sz val="8.5"/>
      <color rgb="FFF8FAFC"/>
      <name val="Calibri"/>
    </font>
    <font>
      <sz val="8.5"/>
      <color rgb="FF94A3B8"/>
      <name val="Calibri"/>
    </font>
    <font>
      <b/>
      <sz val="9"/>
      <color rgb="FF2563EB"/>
      <name val="Calibri"/>
    </font>
    <font>
      <sz val="9.5"/>
      <color rgb="FF1E293B"/>
      <name val="Calibri"/>
    </font>
    <font>
      <b/>
      <sz val="10"/>
      <color rgb="FF2563EB"/>
      <name val="Calibri"/>
    </font>
    <font>
      <sz val="7.5"/>
      <color rgb="FF64748B"/>
      <name val="Calibri"/>
    </font>
    <font>
      <b/>
      <sz val="9"/>
      <color rgb="FF7C3AED"/>
      <name val="Calibri"/>
    </font>
    <font>
      <b/>
      <sz val="9"/>
      <color rgb="FF0D9488"/>
      <name val="Calibri"/>
    </font>
    <font>
      <b/>
      <sz val="9"/>
      <color rgb="FFD97706"/>
      <name val="Calibri"/>
    </font>
    <font>
      <b/>
      <sz val="9"/>
      <color rgb="FFDC2626"/>
      <name val="Calibri"/>
    </font>
    <font>
      <b/>
      <sz val="9"/>
      <color rgb="FF4F46E5"/>
      <name val="Calibri"/>
    </font>
    <font>
      <b/>
      <sz val="8.5"/>
      <color rgb="FF991B1B"/>
      <name val="Calibri"/>
    </font>
    <font>
      <b/>
      <sz val="8.5"/>
      <color rgb="FF065F46"/>
      <name val="Calibri"/>
    </font>
    <font>
      <b/>
      <sz val="8.5"/>
      <color rgb="FF94A3B8"/>
      <name val="Calibri"/>
    </font>
    <font>
      <i/>
      <sz val="9"/>
      <color rgb="FFCBD5E1"/>
      <name val="Calibri"/>
    </font>
    <font>
      <sz val="8.5"/>
      <color rgb="FF475569"/>
      <name val="Calibri"/>
    </font>
    <font>
      <b/>
      <sz val="8.5"/>
      <color rgb="FF475569"/>
      <name val="Calibri"/>
    </font>
    <font>
      <b/>
      <sz val="10"/>
      <color rgb="FF1E293B"/>
      <name val="Calibri"/>
    </font>
    <font>
      <b/>
      <sz val="11"/>
      <color rgb="FF2563EB"/>
      <name val="Calibri"/>
    </font>
    <font>
      <b/>
      <sz val="8"/>
      <color rgb="FF059669"/>
      <name val="Aptos Narrow"/>
      <family val="2"/>
      <scheme val="minor"/>
    </font>
    <font>
      <b/>
      <sz val="20"/>
      <color rgb="FF059669"/>
      <name val="Aptos Narrow"/>
      <family val="2"/>
      <scheme val="minor"/>
    </font>
    <font>
      <b/>
      <sz val="8"/>
      <color rgb="FFD97706"/>
      <name val="Aptos Narrow"/>
      <family val="2"/>
      <scheme val="minor"/>
    </font>
    <font>
      <b/>
      <sz val="20"/>
      <color rgb="FFD97706"/>
      <name val="Aptos Narrow"/>
      <family val="2"/>
      <scheme val="minor"/>
    </font>
    <font>
      <b/>
      <sz val="8"/>
      <color rgb="FF2563EB"/>
      <name val="Aptos Narrow"/>
      <family val="2"/>
      <scheme val="minor"/>
    </font>
    <font>
      <b/>
      <sz val="20"/>
      <color rgb="FF2563EB"/>
      <name val="Aptos Narrow"/>
      <family val="2"/>
      <scheme val="minor"/>
    </font>
    <font>
      <b/>
      <sz val="8"/>
      <color rgb="FF7C3AED"/>
      <name val="Aptos Narrow"/>
      <family val="2"/>
      <scheme val="minor"/>
    </font>
    <font>
      <b/>
      <sz val="20"/>
      <color rgb="FF7C3AED"/>
      <name val="Aptos Narrow"/>
      <family val="2"/>
      <scheme val="minor"/>
    </font>
    <font>
      <b/>
      <sz val="8"/>
      <color rgb="FF4F46E5"/>
      <name val="Aptos Narrow"/>
      <family val="2"/>
      <scheme val="minor"/>
    </font>
    <font>
      <b/>
      <sz val="20"/>
      <color rgb="FF4F46E5"/>
      <name val="Aptos Narrow"/>
      <family val="2"/>
      <scheme val="minor"/>
    </font>
    <font>
      <b/>
      <sz val="8.5"/>
      <color rgb="FF000000"/>
      <name val="Calibri"/>
    </font>
    <font>
      <b/>
      <sz val="8"/>
      <color rgb="FF7C3AED"/>
      <name val="Aptos Narrow"/>
      <scheme val="minor"/>
    </font>
    <font>
      <b/>
      <sz val="20"/>
      <color rgb="FF7C3AED"/>
      <name val="Aptos Narrow"/>
      <scheme val="minor"/>
    </font>
    <font>
      <b/>
      <sz val="16"/>
      <color rgb="FFFFFFFF"/>
      <name val="Aptos Narrow"/>
      <family val="2"/>
      <scheme val="minor"/>
    </font>
    <font>
      <i/>
      <sz val="10"/>
      <color rgb="FFCBD5E1"/>
      <name val="Aptos Narrow"/>
      <family val="2"/>
      <scheme val="minor"/>
    </font>
    <font>
      <sz val="11"/>
      <color rgb="FF1E293B"/>
      <name val="Calibri"/>
    </font>
    <font>
      <i/>
      <sz val="9"/>
      <name val="Aptos Narrow"/>
      <family val="2"/>
      <scheme val="minor"/>
    </font>
    <font>
      <b/>
      <i/>
      <sz val="14"/>
      <name val="Times New Roman"/>
      <family val="1"/>
    </font>
    <font>
      <sz val="7.5"/>
      <color rgb="FF64748B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2D4A7A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E2F6F4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1FAE5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medium">
        <color rgb="FF3B82F6"/>
      </top>
      <bottom/>
      <diagonal/>
    </border>
    <border>
      <left/>
      <right/>
      <top style="medium">
        <color rgb="FF1B2A4A"/>
      </top>
      <bottom/>
      <diagonal/>
    </border>
    <border>
      <left/>
      <right/>
      <top style="medium">
        <color rgb="FF8B5CF6"/>
      </top>
      <bottom/>
      <diagonal/>
    </border>
    <border>
      <left/>
      <right/>
      <top style="medium">
        <color rgb="FFF59E0B"/>
      </top>
      <bottom/>
      <diagonal/>
    </border>
    <border>
      <left/>
      <right/>
      <top style="medium">
        <color rgb="FFEF4444"/>
      </top>
      <bottom/>
      <diagonal/>
    </border>
    <border>
      <left/>
      <right/>
      <top/>
      <bottom style="medium">
        <color rgb="FF6366F1"/>
      </bottom>
      <diagonal/>
    </border>
    <border>
      <left/>
      <right/>
      <top style="medium">
        <color rgb="FF6366F1"/>
      </top>
      <bottom/>
      <diagonal/>
    </border>
    <border>
      <left/>
      <right style="thin">
        <color rgb="FFE2E8F0"/>
      </right>
      <top/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/>
      <right/>
      <top/>
      <bottom style="medium">
        <color rgb="FFCBD5E1"/>
      </bottom>
      <diagonal/>
    </border>
    <border>
      <left style="thin">
        <color rgb="FFE2E8F0"/>
      </left>
      <right/>
      <top/>
      <bottom style="medium">
        <color rgb="FFCBD5E1"/>
      </bottom>
      <diagonal/>
    </border>
    <border>
      <left style="thin">
        <color rgb="FF1E293B"/>
      </left>
      <right/>
      <top/>
      <bottom/>
      <diagonal/>
    </border>
    <border>
      <left/>
      <right style="thin">
        <color rgb="FF1E293B"/>
      </right>
      <top/>
      <bottom/>
      <diagonal/>
    </border>
    <border>
      <left style="thin">
        <color rgb="FFE2E8F0"/>
      </left>
      <right/>
      <top style="medium">
        <color rgb="FF3B82F6"/>
      </top>
      <bottom/>
      <diagonal/>
    </border>
    <border>
      <left/>
      <right style="thin">
        <color rgb="FFE2E8F0"/>
      </right>
      <top style="medium">
        <color rgb="FF3B82F6"/>
      </top>
      <bottom/>
      <diagonal/>
    </border>
    <border>
      <left style="thin">
        <color rgb="FFE2E8F0"/>
      </left>
      <right/>
      <top style="medium">
        <color rgb="FF8B5CF6"/>
      </top>
      <bottom/>
      <diagonal/>
    </border>
    <border>
      <left/>
      <right style="thin">
        <color rgb="FFE2E8F0"/>
      </right>
      <top style="medium">
        <color rgb="FF8B5CF6"/>
      </top>
      <bottom/>
      <diagonal/>
    </border>
    <border>
      <left style="thin">
        <color rgb="FFE2E8F0"/>
      </left>
      <right/>
      <top style="medium">
        <color rgb="FF14B8A6"/>
      </top>
      <bottom/>
      <diagonal/>
    </border>
    <border>
      <left/>
      <right/>
      <top style="medium">
        <color rgb="FF14B8A6"/>
      </top>
      <bottom/>
      <diagonal/>
    </border>
    <border>
      <left/>
      <right style="thin">
        <color rgb="FFE2E8F0"/>
      </right>
      <top style="medium">
        <color rgb="FF14B8A6"/>
      </top>
      <bottom/>
      <diagonal/>
    </border>
    <border>
      <left style="thin">
        <color rgb="FFE2E8F0"/>
      </left>
      <right/>
      <top style="medium">
        <color rgb="FFF59E0B"/>
      </top>
      <bottom/>
      <diagonal/>
    </border>
    <border>
      <left/>
      <right style="thin">
        <color rgb="FFE2E8F0"/>
      </right>
      <top style="medium">
        <color rgb="FFF59E0B"/>
      </top>
      <bottom/>
      <diagonal/>
    </border>
    <border>
      <left style="thin">
        <color rgb="FFE2E8F0"/>
      </left>
      <right/>
      <top style="medium">
        <color rgb="FFEF4444"/>
      </top>
      <bottom/>
      <diagonal/>
    </border>
    <border>
      <left/>
      <right style="thin">
        <color rgb="FFE2E8F0"/>
      </right>
      <top style="medium">
        <color rgb="FFEF4444"/>
      </top>
      <bottom/>
      <diagonal/>
    </border>
    <border>
      <left style="thin">
        <color rgb="FFE2E8F0"/>
      </left>
      <right/>
      <top style="medium">
        <color rgb="FF6366F1"/>
      </top>
      <bottom/>
      <diagonal/>
    </border>
    <border>
      <left/>
      <right style="thin">
        <color rgb="FFE2E8F0"/>
      </right>
      <top style="medium">
        <color rgb="FF6366F1"/>
      </top>
      <bottom/>
      <diagonal/>
    </border>
    <border>
      <left style="thin">
        <color rgb="FFE2E8F0"/>
      </left>
      <right/>
      <top/>
      <bottom style="medium">
        <color rgb="FF6366F1"/>
      </bottom>
      <diagonal/>
    </border>
    <border>
      <left/>
      <right style="thin">
        <color rgb="FFE2E8F0"/>
      </right>
      <top/>
      <bottom style="medium">
        <color rgb="FF6366F1"/>
      </bottom>
      <diagonal/>
    </border>
    <border>
      <left/>
      <right style="thin">
        <color rgb="FFE2E8F0"/>
      </right>
      <top/>
      <bottom style="medium">
        <color rgb="FFCBD5E1"/>
      </bottom>
      <diagonal/>
    </border>
    <border>
      <left/>
      <right style="thin">
        <color rgb="FFE2E8F0"/>
      </right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/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E2E8F0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medium">
        <color rgb="FF1B2A4A"/>
      </top>
      <bottom style="medium">
        <color rgb="FF3B82F6"/>
      </bottom>
      <diagonal/>
    </border>
  </borders>
  <cellStyleXfs count="1">
    <xf numFmtId="0" fontId="0" fillId="0" borderId="0"/>
  </cellStyleXfs>
  <cellXfs count="299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2" borderId="0" xfId="0" applyFill="1"/>
    <xf numFmtId="0" fontId="2" fillId="2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9" borderId="10" xfId="0" applyFont="1" applyFill="1" applyBorder="1" applyAlignment="1">
      <alignment horizontal="center" vertical="center" wrapText="1"/>
    </xf>
    <xf numFmtId="0" fontId="3" fillId="10" borderId="0" xfId="0" applyFont="1" applyFill="1"/>
    <xf numFmtId="0" fontId="2" fillId="10" borderId="0" xfId="0" applyFont="1" applyFill="1"/>
    <xf numFmtId="0" fontId="9" fillId="13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0" fontId="9" fillId="13" borderId="15" xfId="0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0" fontId="10" fillId="10" borderId="12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left" vertical="center"/>
    </xf>
    <xf numFmtId="0" fontId="14" fillId="10" borderId="0" xfId="0" applyFont="1" applyFill="1" applyAlignment="1">
      <alignment vertical="center" wrapText="1"/>
    </xf>
    <xf numFmtId="1" fontId="11" fillId="10" borderId="10" xfId="0" applyNumberFormat="1" applyFont="1" applyFill="1" applyBorder="1" applyAlignment="1" applyProtection="1">
      <alignment horizontal="center" vertical="center" wrapText="1"/>
      <protection locked="0"/>
    </xf>
    <xf numFmtId="0" fontId="15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left" vertical="center"/>
    </xf>
    <xf numFmtId="0" fontId="15" fillId="1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left" vertical="center"/>
    </xf>
    <xf numFmtId="0" fontId="16" fillId="10" borderId="22" xfId="0" applyFont="1" applyFill="1" applyBorder="1" applyAlignment="1">
      <alignment horizontal="center" vertical="center"/>
    </xf>
    <xf numFmtId="0" fontId="12" fillId="10" borderId="22" xfId="0" applyFont="1" applyFill="1" applyBorder="1" applyAlignment="1">
      <alignment horizontal="left" vertical="center"/>
    </xf>
    <xf numFmtId="0" fontId="17" fillId="10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left" vertical="center"/>
    </xf>
    <xf numFmtId="0" fontId="18" fillId="10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left" vertical="center"/>
    </xf>
    <xf numFmtId="0" fontId="20" fillId="7" borderId="0" xfId="0" applyFont="1" applyFill="1" applyAlignment="1" applyProtection="1">
      <alignment horizontal="center" vertical="center"/>
      <protection locked="0"/>
    </xf>
    <xf numFmtId="0" fontId="20" fillId="7" borderId="7" xfId="0" applyFont="1" applyFill="1" applyBorder="1" applyAlignment="1" applyProtection="1">
      <alignment horizontal="center" vertical="center"/>
      <protection locked="0"/>
    </xf>
    <xf numFmtId="0" fontId="20" fillId="11" borderId="0" xfId="0" applyFont="1" applyFill="1" applyAlignment="1" applyProtection="1">
      <alignment horizontal="center" vertical="center"/>
      <protection locked="0"/>
    </xf>
    <xf numFmtId="0" fontId="23" fillId="4" borderId="0" xfId="0" applyFont="1" applyFill="1" applyAlignment="1">
      <alignment horizontal="center" vertical="center"/>
    </xf>
    <xf numFmtId="0" fontId="9" fillId="13" borderId="4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165" fontId="24" fillId="10" borderId="3" xfId="0" applyNumberFormat="1" applyFont="1" applyFill="1" applyBorder="1" applyAlignment="1" applyProtection="1">
      <alignment horizontal="center" vertical="center"/>
      <protection locked="0"/>
    </xf>
    <xf numFmtId="1" fontId="26" fillId="10" borderId="3" xfId="0" applyNumberFormat="1" applyFont="1" applyFill="1" applyBorder="1" applyAlignment="1" applyProtection="1">
      <alignment horizontal="center" vertical="center"/>
      <protection locked="0"/>
    </xf>
    <xf numFmtId="165" fontId="25" fillId="10" borderId="3" xfId="0" applyNumberFormat="1" applyFont="1" applyFill="1" applyBorder="1" applyAlignment="1" applyProtection="1">
      <alignment horizontal="center" vertical="center"/>
      <protection locked="0"/>
    </xf>
    <xf numFmtId="0" fontId="10" fillId="10" borderId="5" xfId="0" applyFont="1" applyFill="1" applyBorder="1" applyAlignment="1">
      <alignment horizontal="center" vertical="center"/>
    </xf>
    <xf numFmtId="165" fontId="24" fillId="10" borderId="5" xfId="0" applyNumberFormat="1" applyFont="1" applyFill="1" applyBorder="1" applyAlignment="1" applyProtection="1">
      <alignment horizontal="center" vertical="center"/>
      <protection locked="0"/>
    </xf>
    <xf numFmtId="1" fontId="26" fillId="10" borderId="5" xfId="0" applyNumberFormat="1" applyFont="1" applyFill="1" applyBorder="1" applyAlignment="1" applyProtection="1">
      <alignment horizontal="center" vertical="center"/>
      <protection locked="0"/>
    </xf>
    <xf numFmtId="165" fontId="25" fillId="10" borderId="5" xfId="0" applyNumberFormat="1" applyFont="1" applyFill="1" applyBorder="1" applyAlignment="1" applyProtection="1">
      <alignment horizontal="center" vertical="center"/>
      <protection locked="0"/>
    </xf>
    <xf numFmtId="1" fontId="27" fillId="10" borderId="5" xfId="0" applyNumberFormat="1" applyFont="1" applyFill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165" fontId="24" fillId="10" borderId="22" xfId="0" applyNumberFormat="1" applyFont="1" applyFill="1" applyBorder="1" applyAlignment="1" applyProtection="1">
      <alignment horizontal="center" vertical="center"/>
      <protection locked="0"/>
    </xf>
    <xf numFmtId="1" fontId="26" fillId="10" borderId="22" xfId="0" applyNumberFormat="1" applyFont="1" applyFill="1" applyBorder="1" applyAlignment="1" applyProtection="1">
      <alignment horizontal="center" vertical="center"/>
      <protection locked="0"/>
    </xf>
    <xf numFmtId="165" fontId="25" fillId="10" borderId="22" xfId="0" applyNumberFormat="1" applyFont="1" applyFill="1" applyBorder="1" applyAlignment="1" applyProtection="1">
      <alignment horizontal="center" vertical="center"/>
      <protection locked="0"/>
    </xf>
    <xf numFmtId="1" fontId="27" fillId="10" borderId="22" xfId="0" applyNumberFormat="1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165" fontId="24" fillId="10" borderId="6" xfId="0" applyNumberFormat="1" applyFont="1" applyFill="1" applyBorder="1" applyAlignment="1" applyProtection="1">
      <alignment horizontal="center" vertical="center"/>
      <protection locked="0"/>
    </xf>
    <xf numFmtId="1" fontId="26" fillId="10" borderId="6" xfId="0" applyNumberFormat="1" applyFont="1" applyFill="1" applyBorder="1" applyAlignment="1" applyProtection="1">
      <alignment horizontal="center" vertical="center"/>
      <protection locked="0"/>
    </xf>
    <xf numFmtId="165" fontId="25" fillId="10" borderId="6" xfId="0" applyNumberFormat="1" applyFont="1" applyFill="1" applyBorder="1" applyAlignment="1" applyProtection="1">
      <alignment horizontal="center" vertical="center"/>
      <protection locked="0"/>
    </xf>
    <xf numFmtId="1" fontId="27" fillId="10" borderId="6" xfId="0" applyNumberFormat="1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165" fontId="24" fillId="10" borderId="7" xfId="0" applyNumberFormat="1" applyFont="1" applyFill="1" applyBorder="1" applyAlignment="1" applyProtection="1">
      <alignment horizontal="center" vertical="center"/>
      <protection locked="0"/>
    </xf>
    <xf numFmtId="1" fontId="26" fillId="10" borderId="7" xfId="0" applyNumberFormat="1" applyFont="1" applyFill="1" applyBorder="1" applyAlignment="1" applyProtection="1">
      <alignment horizontal="center" vertical="center"/>
      <protection locked="0"/>
    </xf>
    <xf numFmtId="165" fontId="25" fillId="10" borderId="7" xfId="0" applyNumberFormat="1" applyFont="1" applyFill="1" applyBorder="1" applyAlignment="1" applyProtection="1">
      <alignment horizontal="center" vertical="center"/>
      <protection locked="0"/>
    </xf>
    <xf numFmtId="1" fontId="27" fillId="10" borderId="7" xfId="0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10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10" fillId="12" borderId="9" xfId="0" applyFont="1" applyFill="1" applyBorder="1" applyAlignment="1" applyProtection="1">
      <alignment horizontal="center" vertical="center"/>
      <protection locked="0"/>
    </xf>
    <xf numFmtId="0" fontId="19" fillId="12" borderId="9" xfId="0" applyFont="1" applyFill="1" applyBorder="1" applyAlignment="1" applyProtection="1">
      <alignment horizontal="center" vertical="center"/>
      <protection locked="0"/>
    </xf>
    <xf numFmtId="0" fontId="12" fillId="12" borderId="9" xfId="0" applyFont="1" applyFill="1" applyBorder="1" applyAlignment="1" applyProtection="1">
      <alignment horizontal="left" vertical="center"/>
      <protection locked="0"/>
    </xf>
    <xf numFmtId="165" fontId="24" fillId="12" borderId="9" xfId="0" applyNumberFormat="1" applyFont="1" applyFill="1" applyBorder="1" applyAlignment="1" applyProtection="1">
      <alignment horizontal="center" vertical="center"/>
      <protection locked="0"/>
    </xf>
    <xf numFmtId="1" fontId="26" fillId="12" borderId="9" xfId="0" applyNumberFormat="1" applyFont="1" applyFill="1" applyBorder="1" applyAlignment="1" applyProtection="1">
      <alignment horizontal="center" vertical="center"/>
      <protection locked="0"/>
    </xf>
    <xf numFmtId="165" fontId="25" fillId="12" borderId="9" xfId="0" applyNumberFormat="1" applyFont="1" applyFill="1" applyBorder="1" applyAlignment="1" applyProtection="1">
      <alignment horizontal="center" vertical="center"/>
      <protection locked="0"/>
    </xf>
    <xf numFmtId="1" fontId="27" fillId="12" borderId="9" xfId="0" applyNumberFormat="1" applyFont="1" applyFill="1" applyBorder="1" applyAlignment="1">
      <alignment horizontal="center" vertical="center"/>
    </xf>
    <xf numFmtId="0" fontId="10" fillId="12" borderId="0" xfId="0" applyFont="1" applyFill="1" applyAlignment="1" applyProtection="1">
      <alignment horizontal="center" vertical="center"/>
      <protection locked="0"/>
    </xf>
    <xf numFmtId="0" fontId="19" fillId="12" borderId="0" xfId="0" applyFont="1" applyFill="1" applyAlignment="1" applyProtection="1">
      <alignment horizontal="center" vertical="center"/>
      <protection locked="0"/>
    </xf>
    <xf numFmtId="0" fontId="12" fillId="12" borderId="0" xfId="0" applyFont="1" applyFill="1" applyAlignment="1" applyProtection="1">
      <alignment horizontal="left" vertical="center"/>
      <protection locked="0"/>
    </xf>
    <xf numFmtId="0" fontId="10" fillId="10" borderId="0" xfId="0" applyFont="1" applyFill="1" applyAlignment="1" applyProtection="1">
      <alignment horizontal="center" vertical="center"/>
      <protection locked="0"/>
    </xf>
    <xf numFmtId="0" fontId="19" fillId="10" borderId="0" xfId="0" applyFont="1" applyFill="1" applyAlignment="1" applyProtection="1">
      <alignment horizontal="center" vertical="center"/>
      <protection locked="0"/>
    </xf>
    <xf numFmtId="0" fontId="12" fillId="10" borderId="0" xfId="0" applyFont="1" applyFill="1" applyAlignment="1" applyProtection="1">
      <alignment horizontal="left" vertical="center"/>
      <protection locked="0"/>
    </xf>
    <xf numFmtId="0" fontId="19" fillId="10" borderId="8" xfId="0" applyFont="1" applyFill="1" applyBorder="1" applyAlignment="1" applyProtection="1">
      <alignment horizontal="center" vertical="center"/>
      <protection locked="0"/>
    </xf>
    <xf numFmtId="0" fontId="12" fillId="10" borderId="8" xfId="0" applyFont="1" applyFill="1" applyBorder="1" applyAlignment="1" applyProtection="1">
      <alignment horizontal="left" vertical="center"/>
      <protection locked="0"/>
    </xf>
    <xf numFmtId="0" fontId="10" fillId="8" borderId="17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 applyProtection="1">
      <alignment horizontal="center" vertical="center"/>
      <protection locked="0"/>
    </xf>
    <xf numFmtId="0" fontId="13" fillId="8" borderId="3" xfId="0" applyFont="1" applyFill="1" applyBorder="1" applyAlignment="1" applyProtection="1">
      <alignment horizontal="center" vertical="center"/>
      <protection locked="0"/>
    </xf>
    <xf numFmtId="0" fontId="21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vertical="center" wrapText="1"/>
    </xf>
    <xf numFmtId="1" fontId="11" fillId="8" borderId="18" xfId="0" applyNumberFormat="1" applyFont="1" applyFill="1" applyBorder="1" applyAlignment="1" applyProtection="1">
      <alignment horizontal="center" vertical="center" wrapText="1"/>
      <protection locked="0"/>
    </xf>
    <xf numFmtId="0" fontId="20" fillId="10" borderId="0" xfId="0" applyFont="1" applyFill="1" applyAlignment="1" applyProtection="1">
      <alignment horizontal="center" vertical="center"/>
      <protection locked="0"/>
    </xf>
    <xf numFmtId="0" fontId="21" fillId="10" borderId="0" xfId="0" applyFont="1" applyFill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0" fillId="8" borderId="0" xfId="0" applyFont="1" applyFill="1" applyAlignment="1" applyProtection="1">
      <alignment horizontal="center" vertical="center"/>
      <protection locked="0"/>
    </xf>
    <xf numFmtId="0" fontId="21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vertical="center" wrapText="1"/>
    </xf>
    <xf numFmtId="1" fontId="11" fillId="8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11" borderId="19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center" vertical="center"/>
    </xf>
    <xf numFmtId="0" fontId="20" fillId="11" borderId="5" xfId="0" applyFont="1" applyFill="1" applyBorder="1" applyAlignment="1" applyProtection="1">
      <alignment horizontal="center" vertical="center"/>
      <protection locked="0"/>
    </xf>
    <xf numFmtId="0" fontId="22" fillId="11" borderId="5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vertical="center" wrapText="1"/>
    </xf>
    <xf numFmtId="1" fontId="11" fillId="11" borderId="20" xfId="0" applyNumberFormat="1" applyFont="1" applyFill="1" applyBorder="1" applyAlignment="1" applyProtection="1">
      <alignment horizontal="center" vertical="center" wrapText="1"/>
      <protection locked="0"/>
    </xf>
    <xf numFmtId="0" fontId="22" fillId="10" borderId="0" xfId="0" applyFont="1" applyFill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14" fillId="11" borderId="0" xfId="0" applyFont="1" applyFill="1" applyAlignment="1">
      <alignment vertical="center" wrapText="1"/>
    </xf>
    <xf numFmtId="1" fontId="11" fillId="11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6" borderId="24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center" vertical="center"/>
    </xf>
    <xf numFmtId="0" fontId="20" fillId="6" borderId="6" xfId="0" applyFont="1" applyFill="1" applyBorder="1" applyAlignment="1" applyProtection="1">
      <alignment horizontal="center" vertical="center"/>
      <protection locked="0"/>
    </xf>
    <xf numFmtId="0" fontId="22" fillId="6" borderId="6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vertical="center" wrapText="1"/>
    </xf>
    <xf numFmtId="1" fontId="11" fillId="6" borderId="25" xfId="0" applyNumberFormat="1" applyFont="1" applyFill="1" applyBorder="1" applyAlignment="1" applyProtection="1">
      <alignment horizontal="center" vertical="center" wrapText="1"/>
      <protection locked="0"/>
    </xf>
    <xf numFmtId="0" fontId="10" fillId="6" borderId="12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0" fillId="6" borderId="0" xfId="0" applyFont="1" applyFill="1" applyAlignment="1" applyProtection="1">
      <alignment horizontal="center" vertical="center"/>
      <protection locked="0"/>
    </xf>
    <xf numFmtId="0" fontId="2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vertical="center" wrapText="1"/>
    </xf>
    <xf numFmtId="1" fontId="11" fillId="6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7" borderId="2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left" vertical="center"/>
    </xf>
    <xf numFmtId="0" fontId="4" fillId="7" borderId="7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vertical="center" wrapText="1"/>
    </xf>
    <xf numFmtId="1" fontId="11" fillId="7" borderId="27" xfId="0" applyNumberFormat="1" applyFont="1" applyFill="1" applyBorder="1" applyAlignment="1" applyProtection="1">
      <alignment horizontal="center" vertical="center" wrapText="1"/>
      <protection locked="0"/>
    </xf>
    <xf numFmtId="0" fontId="10" fillId="7" borderId="12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vertical="center" wrapText="1"/>
    </xf>
    <xf numFmtId="1" fontId="11" fillId="7" borderId="10" xfId="0" applyNumberFormat="1" applyFont="1" applyFill="1" applyBorder="1" applyAlignment="1" applyProtection="1">
      <alignment horizontal="center" vertical="center" wrapText="1"/>
      <protection locked="0"/>
    </xf>
    <xf numFmtId="0" fontId="10" fillId="10" borderId="28" xfId="0" applyFont="1" applyFill="1" applyBorder="1" applyAlignment="1" applyProtection="1">
      <alignment horizontal="center" vertical="center"/>
      <protection locked="0"/>
    </xf>
    <xf numFmtId="0" fontId="19" fillId="10" borderId="9" xfId="0" applyFont="1" applyFill="1" applyBorder="1" applyAlignment="1" applyProtection="1">
      <alignment horizontal="center" vertical="center"/>
      <protection locked="0"/>
    </xf>
    <xf numFmtId="0" fontId="12" fillId="10" borderId="9" xfId="0" applyFont="1" applyFill="1" applyBorder="1" applyAlignment="1" applyProtection="1">
      <alignment horizontal="left" vertical="center"/>
      <protection locked="0"/>
    </xf>
    <xf numFmtId="0" fontId="4" fillId="10" borderId="9" xfId="0" applyFont="1" applyFill="1" applyBorder="1" applyAlignment="1" applyProtection="1">
      <alignment horizontal="center" vertical="center"/>
      <protection locked="0"/>
    </xf>
    <xf numFmtId="0" fontId="20" fillId="10" borderId="9" xfId="0" applyFont="1" applyFill="1" applyBorder="1" applyAlignment="1" applyProtection="1">
      <alignment horizontal="center" vertical="center"/>
      <protection locked="0"/>
    </xf>
    <xf numFmtId="0" fontId="14" fillId="10" borderId="9" xfId="0" applyFont="1" applyFill="1" applyBorder="1" applyAlignment="1" applyProtection="1">
      <alignment vertical="center"/>
      <protection locked="0"/>
    </xf>
    <xf numFmtId="1" fontId="11" fillId="10" borderId="29" xfId="0" applyNumberFormat="1" applyFont="1" applyFill="1" applyBorder="1" applyAlignment="1" applyProtection="1">
      <alignment horizontal="center" vertical="center"/>
      <protection locked="0"/>
    </xf>
    <xf numFmtId="0" fontId="10" fillId="12" borderId="12" xfId="0" applyFont="1" applyFill="1" applyBorder="1" applyAlignment="1" applyProtection="1">
      <alignment horizontal="center" vertical="center"/>
      <protection locked="0"/>
    </xf>
    <xf numFmtId="0" fontId="4" fillId="12" borderId="0" xfId="0" applyFont="1" applyFill="1" applyAlignment="1" applyProtection="1">
      <alignment horizontal="center" vertical="center"/>
      <protection locked="0"/>
    </xf>
    <xf numFmtId="0" fontId="20" fillId="12" borderId="0" xfId="0" applyFont="1" applyFill="1" applyAlignment="1" applyProtection="1">
      <alignment horizontal="center" vertical="center"/>
      <protection locked="0"/>
    </xf>
    <xf numFmtId="0" fontId="14" fillId="12" borderId="0" xfId="0" applyFont="1" applyFill="1" applyAlignment="1" applyProtection="1">
      <alignment vertical="center"/>
      <protection locked="0"/>
    </xf>
    <xf numFmtId="1" fontId="11" fillId="12" borderId="10" xfId="0" applyNumberFormat="1" applyFont="1" applyFill="1" applyBorder="1" applyAlignment="1" applyProtection="1">
      <alignment horizontal="center" vertical="center"/>
      <protection locked="0"/>
    </xf>
    <xf numFmtId="0" fontId="10" fillId="10" borderId="12" xfId="0" applyFont="1" applyFill="1" applyBorder="1" applyAlignment="1" applyProtection="1">
      <alignment horizontal="center" vertical="center"/>
      <protection locked="0"/>
    </xf>
    <xf numFmtId="0" fontId="4" fillId="10" borderId="0" xfId="0" applyFont="1" applyFill="1" applyAlignment="1" applyProtection="1">
      <alignment horizontal="center" vertical="center"/>
      <protection locked="0"/>
    </xf>
    <xf numFmtId="0" fontId="14" fillId="10" borderId="0" xfId="0" applyFont="1" applyFill="1" applyAlignment="1" applyProtection="1">
      <alignment vertical="center"/>
      <protection locked="0"/>
    </xf>
    <xf numFmtId="1" fontId="11" fillId="10" borderId="10" xfId="0" applyNumberFormat="1" applyFont="1" applyFill="1" applyBorder="1" applyAlignment="1" applyProtection="1">
      <alignment horizontal="center" vertical="center"/>
      <protection locked="0"/>
    </xf>
    <xf numFmtId="0" fontId="19" fillId="12" borderId="8" xfId="0" applyFont="1" applyFill="1" applyBorder="1" applyAlignment="1" applyProtection="1">
      <alignment horizontal="center" vertical="center"/>
      <protection locked="0"/>
    </xf>
    <xf numFmtId="0" fontId="12" fillId="12" borderId="8" xfId="0" applyFont="1" applyFill="1" applyBorder="1" applyAlignment="1" applyProtection="1">
      <alignment horizontal="left" vertical="center"/>
      <protection locked="0"/>
    </xf>
    <xf numFmtId="0" fontId="10" fillId="14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left" vertical="center"/>
    </xf>
    <xf numFmtId="0" fontId="10" fillId="14" borderId="21" xfId="0" applyFont="1" applyFill="1" applyBorder="1" applyAlignment="1">
      <alignment horizontal="center" vertical="center"/>
    </xf>
    <xf numFmtId="0" fontId="16" fillId="14" borderId="22" xfId="0" applyFont="1" applyFill="1" applyBorder="1" applyAlignment="1">
      <alignment horizontal="center" vertical="center"/>
    </xf>
    <xf numFmtId="0" fontId="12" fillId="14" borderId="22" xfId="0" applyFont="1" applyFill="1" applyBorder="1" applyAlignment="1">
      <alignment horizontal="left" vertical="center"/>
    </xf>
    <xf numFmtId="0" fontId="4" fillId="14" borderId="22" xfId="0" applyFont="1" applyFill="1" applyBorder="1" applyAlignment="1">
      <alignment horizontal="center" vertical="center"/>
    </xf>
    <xf numFmtId="0" fontId="20" fillId="14" borderId="22" xfId="0" applyFont="1" applyFill="1" applyBorder="1" applyAlignment="1" applyProtection="1">
      <alignment horizontal="center" vertical="center"/>
      <protection locked="0"/>
    </xf>
    <xf numFmtId="0" fontId="22" fillId="14" borderId="22" xfId="0" applyFont="1" applyFill="1" applyBorder="1" applyAlignment="1">
      <alignment horizontal="center" vertical="center"/>
    </xf>
    <xf numFmtId="0" fontId="14" fillId="14" borderId="22" xfId="0" applyFont="1" applyFill="1" applyBorder="1" applyAlignment="1">
      <alignment vertical="center" wrapText="1"/>
    </xf>
    <xf numFmtId="1" fontId="11" fillId="14" borderId="23" xfId="0" applyNumberFormat="1" applyFont="1" applyFill="1" applyBorder="1" applyAlignment="1" applyProtection="1">
      <alignment horizontal="center" vertical="center" wrapText="1"/>
      <protection locked="0"/>
    </xf>
    <xf numFmtId="0" fontId="10" fillId="14" borderId="12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20" fillId="14" borderId="0" xfId="0" applyFont="1" applyFill="1" applyAlignment="1" applyProtection="1">
      <alignment horizontal="center" vertical="center"/>
      <protection locked="0"/>
    </xf>
    <xf numFmtId="0" fontId="22" fillId="14" borderId="0" xfId="0" applyFont="1" applyFill="1" applyAlignment="1">
      <alignment horizontal="center" vertical="center"/>
    </xf>
    <xf numFmtId="0" fontId="14" fillId="14" borderId="0" xfId="0" applyFont="1" applyFill="1" applyAlignment="1">
      <alignment vertical="center" wrapText="1"/>
    </xf>
    <xf numFmtId="1" fontId="11" fillId="14" borderId="10" xfId="0" applyNumberFormat="1" applyFont="1" applyFill="1" applyBorder="1" applyAlignment="1" applyProtection="1">
      <alignment horizontal="center" vertical="center" wrapText="1"/>
      <protection locked="0"/>
    </xf>
    <xf numFmtId="0" fontId="38" fillId="10" borderId="3" xfId="0" applyFont="1" applyFill="1" applyBorder="1" applyAlignment="1">
      <alignment horizontal="center" vertical="center"/>
    </xf>
    <xf numFmtId="0" fontId="38" fillId="10" borderId="0" xfId="0" applyFont="1" applyFill="1" applyAlignment="1">
      <alignment horizontal="center" vertical="center"/>
    </xf>
    <xf numFmtId="0" fontId="38" fillId="10" borderId="5" xfId="0" applyFont="1" applyFill="1" applyBorder="1" applyAlignment="1">
      <alignment horizontal="center" vertical="center"/>
    </xf>
    <xf numFmtId="0" fontId="38" fillId="10" borderId="22" xfId="0" applyFont="1" applyFill="1" applyBorder="1" applyAlignment="1">
      <alignment horizontal="center" vertical="center"/>
    </xf>
    <xf numFmtId="0" fontId="38" fillId="10" borderId="6" xfId="0" applyFont="1" applyFill="1" applyBorder="1" applyAlignment="1">
      <alignment horizontal="center" vertical="center"/>
    </xf>
    <xf numFmtId="0" fontId="38" fillId="10" borderId="7" xfId="0" applyFont="1" applyFill="1" applyBorder="1" applyAlignment="1">
      <alignment horizontal="center" vertical="center"/>
    </xf>
    <xf numFmtId="0" fontId="38" fillId="10" borderId="9" xfId="0" applyFont="1" applyFill="1" applyBorder="1" applyAlignment="1" applyProtection="1">
      <alignment horizontal="center" vertical="center"/>
      <protection locked="0"/>
    </xf>
    <xf numFmtId="0" fontId="38" fillId="10" borderId="0" xfId="0" applyFont="1" applyFill="1" applyAlignment="1" applyProtection="1">
      <alignment horizontal="center" vertical="center"/>
      <protection locked="0"/>
    </xf>
    <xf numFmtId="0" fontId="10" fillId="10" borderId="30" xfId="0" applyFont="1" applyFill="1" applyBorder="1" applyAlignment="1" applyProtection="1">
      <alignment horizontal="center" vertical="center"/>
      <protection locked="0"/>
    </xf>
    <xf numFmtId="0" fontId="4" fillId="10" borderId="8" xfId="0" applyFont="1" applyFill="1" applyBorder="1" applyAlignment="1" applyProtection="1">
      <alignment horizontal="center" vertical="center"/>
      <protection locked="0"/>
    </xf>
    <xf numFmtId="0" fontId="20" fillId="15" borderId="8" xfId="0" applyFont="1" applyFill="1" applyBorder="1" applyAlignment="1" applyProtection="1">
      <alignment horizontal="center" vertical="center"/>
      <protection locked="0"/>
    </xf>
    <xf numFmtId="1" fontId="11" fillId="10" borderId="31" xfId="0" applyNumberFormat="1" applyFont="1" applyFill="1" applyBorder="1" applyAlignment="1" applyProtection="1">
      <alignment horizontal="center" vertical="center"/>
      <protection locked="0"/>
    </xf>
    <xf numFmtId="0" fontId="10" fillId="12" borderId="8" xfId="0" applyFont="1" applyFill="1" applyBorder="1" applyAlignment="1" applyProtection="1">
      <alignment horizontal="center" vertical="center"/>
      <protection locked="0"/>
    </xf>
    <xf numFmtId="0" fontId="20" fillId="15" borderId="8" xfId="0" applyFont="1" applyFill="1" applyBorder="1" applyAlignment="1">
      <alignment horizontal="center" vertical="center"/>
    </xf>
    <xf numFmtId="165" fontId="24" fillId="12" borderId="8" xfId="0" applyNumberFormat="1" applyFont="1" applyFill="1" applyBorder="1" applyAlignment="1">
      <alignment horizontal="center" vertical="center"/>
    </xf>
    <xf numFmtId="1" fontId="26" fillId="12" borderId="8" xfId="0" applyNumberFormat="1" applyFont="1" applyFill="1" applyBorder="1" applyAlignment="1" applyProtection="1">
      <alignment horizontal="center" vertical="center"/>
      <protection locked="0"/>
    </xf>
    <xf numFmtId="165" fontId="25" fillId="12" borderId="8" xfId="0" applyNumberFormat="1" applyFont="1" applyFill="1" applyBorder="1" applyAlignment="1" applyProtection="1">
      <alignment horizontal="center" vertical="center"/>
      <protection locked="0"/>
    </xf>
    <xf numFmtId="1" fontId="27" fillId="12" borderId="8" xfId="0" applyNumberFormat="1" applyFont="1" applyFill="1" applyBorder="1" applyAlignment="1">
      <alignment horizontal="center" vertical="center"/>
    </xf>
    <xf numFmtId="0" fontId="13" fillId="8" borderId="0" xfId="0" applyFont="1" applyFill="1" applyAlignment="1" applyProtection="1">
      <alignment horizontal="center" vertical="center"/>
      <protection locked="0"/>
    </xf>
    <xf numFmtId="0" fontId="13" fillId="10" borderId="0" xfId="0" applyFont="1" applyFill="1" applyAlignment="1" applyProtection="1">
      <alignment horizontal="center" vertical="center"/>
      <protection locked="0"/>
    </xf>
    <xf numFmtId="0" fontId="13" fillId="11" borderId="5" xfId="0" applyFont="1" applyFill="1" applyBorder="1" applyAlignment="1" applyProtection="1">
      <alignment horizontal="center" vertical="center"/>
      <protection locked="0"/>
    </xf>
    <xf numFmtId="0" fontId="13" fillId="11" borderId="0" xfId="0" applyFont="1" applyFill="1" applyAlignment="1" applyProtection="1">
      <alignment horizontal="center" vertical="center"/>
      <protection locked="0"/>
    </xf>
    <xf numFmtId="0" fontId="13" fillId="14" borderId="22" xfId="0" applyFont="1" applyFill="1" applyBorder="1" applyAlignment="1" applyProtection="1">
      <alignment horizontal="center" vertical="center"/>
      <protection locked="0"/>
    </xf>
    <xf numFmtId="0" fontId="13" fillId="14" borderId="0" xfId="0" applyFont="1" applyFill="1" applyAlignment="1" applyProtection="1">
      <alignment horizontal="center" vertical="center"/>
      <protection locked="0"/>
    </xf>
    <xf numFmtId="0" fontId="13" fillId="6" borderId="6" xfId="0" applyFont="1" applyFill="1" applyBorder="1" applyAlignment="1" applyProtection="1">
      <alignment horizontal="center" vertical="center"/>
      <protection locked="0"/>
    </xf>
    <xf numFmtId="0" fontId="13" fillId="6" borderId="0" xfId="0" applyFont="1" applyFill="1" applyAlignment="1" applyProtection="1">
      <alignment horizontal="center" vertical="center"/>
      <protection locked="0"/>
    </xf>
    <xf numFmtId="0" fontId="13" fillId="7" borderId="7" xfId="0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0" fontId="13" fillId="10" borderId="9" xfId="0" applyFont="1" applyFill="1" applyBorder="1" applyAlignment="1" applyProtection="1">
      <alignment horizontal="center" vertical="center"/>
      <protection locked="0"/>
    </xf>
    <xf numFmtId="0" fontId="13" fillId="12" borderId="0" xfId="0" applyFont="1" applyFill="1" applyAlignment="1" applyProtection="1">
      <alignment horizontal="center" vertical="center"/>
      <protection locked="0"/>
    </xf>
    <xf numFmtId="0" fontId="13" fillId="10" borderId="8" xfId="0" applyFont="1" applyFill="1" applyBorder="1" applyAlignment="1" applyProtection="1">
      <alignment horizontal="center" vertical="center"/>
      <protection locked="0"/>
    </xf>
    <xf numFmtId="0" fontId="21" fillId="16" borderId="9" xfId="0" applyFont="1" applyFill="1" applyBorder="1" applyAlignment="1" applyProtection="1">
      <alignment horizontal="center" vertical="center"/>
      <protection locked="0"/>
    </xf>
    <xf numFmtId="0" fontId="21" fillId="16" borderId="0" xfId="0" applyFont="1" applyFill="1" applyAlignment="1" applyProtection="1">
      <alignment horizontal="center" vertical="center"/>
      <protection locked="0"/>
    </xf>
    <xf numFmtId="0" fontId="21" fillId="16" borderId="8" xfId="0" applyFont="1" applyFill="1" applyBorder="1" applyAlignment="1" applyProtection="1">
      <alignment horizontal="center" vertical="center"/>
      <protection locked="0"/>
    </xf>
    <xf numFmtId="0" fontId="46" fillId="10" borderId="8" xfId="0" applyFont="1" applyFill="1" applyBorder="1" applyAlignment="1" applyProtection="1">
      <alignment vertical="center"/>
      <protection locked="0"/>
    </xf>
    <xf numFmtId="1" fontId="27" fillId="8" borderId="0" xfId="0" applyNumberFormat="1" applyFont="1" applyFill="1" applyAlignment="1">
      <alignment horizontal="center" vertical="center"/>
    </xf>
    <xf numFmtId="1" fontId="27" fillId="10" borderId="0" xfId="0" applyNumberFormat="1" applyFont="1" applyFill="1" applyAlignment="1">
      <alignment horizontal="center" vertical="center"/>
    </xf>
    <xf numFmtId="1" fontId="27" fillId="11" borderId="0" xfId="0" applyNumberFormat="1" applyFont="1" applyFill="1" applyAlignment="1">
      <alignment horizontal="center" vertical="center"/>
    </xf>
    <xf numFmtId="1" fontId="27" fillId="14" borderId="0" xfId="0" applyNumberFormat="1" applyFont="1" applyFill="1" applyAlignment="1">
      <alignment horizontal="center" vertical="center"/>
    </xf>
    <xf numFmtId="1" fontId="27" fillId="6" borderId="0" xfId="0" applyNumberFormat="1" applyFont="1" applyFill="1" applyAlignment="1">
      <alignment horizontal="center" vertical="center"/>
    </xf>
    <xf numFmtId="1" fontId="27" fillId="7" borderId="0" xfId="0" applyNumberFormat="1" applyFont="1" applyFill="1" applyAlignment="1">
      <alignment horizontal="center" vertical="center"/>
    </xf>
    <xf numFmtId="1" fontId="27" fillId="12" borderId="0" xfId="0" applyNumberFormat="1" applyFont="1" applyFill="1" applyAlignment="1">
      <alignment horizontal="center" vertical="center"/>
    </xf>
    <xf numFmtId="165" fontId="25" fillId="8" borderId="0" xfId="0" applyNumberFormat="1" applyFont="1" applyFill="1" applyAlignment="1" applyProtection="1">
      <alignment horizontal="center" vertical="center"/>
      <protection locked="0"/>
    </xf>
    <xf numFmtId="1" fontId="26" fillId="8" borderId="0" xfId="0" applyNumberFormat="1" applyFont="1" applyFill="1" applyAlignment="1" applyProtection="1">
      <alignment horizontal="center" vertical="center"/>
      <protection locked="0"/>
    </xf>
    <xf numFmtId="165" fontId="25" fillId="10" borderId="0" xfId="0" applyNumberFormat="1" applyFont="1" applyFill="1" applyAlignment="1" applyProtection="1">
      <alignment horizontal="center" vertical="center"/>
      <protection locked="0"/>
    </xf>
    <xf numFmtId="1" fontId="26" fillId="10" borderId="0" xfId="0" applyNumberFormat="1" applyFont="1" applyFill="1" applyAlignment="1" applyProtection="1">
      <alignment horizontal="center" vertical="center"/>
      <protection locked="0"/>
    </xf>
    <xf numFmtId="165" fontId="25" fillId="11" borderId="0" xfId="0" applyNumberFormat="1" applyFont="1" applyFill="1" applyAlignment="1" applyProtection="1">
      <alignment horizontal="center" vertical="center"/>
      <protection locked="0"/>
    </xf>
    <xf numFmtId="1" fontId="26" fillId="11" borderId="0" xfId="0" applyNumberFormat="1" applyFont="1" applyFill="1" applyAlignment="1" applyProtection="1">
      <alignment horizontal="center" vertical="center"/>
      <protection locked="0"/>
    </xf>
    <xf numFmtId="165" fontId="25" fillId="14" borderId="0" xfId="0" applyNumberFormat="1" applyFont="1" applyFill="1" applyAlignment="1" applyProtection="1">
      <alignment horizontal="center" vertical="center"/>
      <protection locked="0"/>
    </xf>
    <xf numFmtId="1" fontId="26" fillId="14" borderId="0" xfId="0" applyNumberFormat="1" applyFont="1" applyFill="1" applyAlignment="1" applyProtection="1">
      <alignment horizontal="center" vertical="center"/>
      <protection locked="0"/>
    </xf>
    <xf numFmtId="165" fontId="25" fillId="6" borderId="0" xfId="0" applyNumberFormat="1" applyFont="1" applyFill="1" applyAlignment="1" applyProtection="1">
      <alignment horizontal="center" vertical="center"/>
      <protection locked="0"/>
    </xf>
    <xf numFmtId="1" fontId="26" fillId="6" borderId="0" xfId="0" applyNumberFormat="1" applyFont="1" applyFill="1" applyAlignment="1" applyProtection="1">
      <alignment horizontal="center" vertical="center"/>
      <protection locked="0"/>
    </xf>
    <xf numFmtId="165" fontId="25" fillId="7" borderId="0" xfId="0" applyNumberFormat="1" applyFont="1" applyFill="1" applyAlignment="1" applyProtection="1">
      <alignment horizontal="center" vertical="center"/>
      <protection locked="0"/>
    </xf>
    <xf numFmtId="1" fontId="26" fillId="7" borderId="0" xfId="0" applyNumberFormat="1" applyFont="1" applyFill="1" applyAlignment="1" applyProtection="1">
      <alignment horizontal="center" vertical="center"/>
      <protection locked="0"/>
    </xf>
    <xf numFmtId="165" fontId="25" fillId="12" borderId="0" xfId="0" applyNumberFormat="1" applyFont="1" applyFill="1" applyAlignment="1" applyProtection="1">
      <alignment horizontal="center" vertical="center"/>
      <protection locked="0"/>
    </xf>
    <xf numFmtId="1" fontId="26" fillId="12" borderId="0" xfId="0" applyNumberFormat="1" applyFont="1" applyFill="1" applyAlignment="1" applyProtection="1">
      <alignment horizontal="center" vertical="center"/>
      <protection locked="0"/>
    </xf>
    <xf numFmtId="165" fontId="24" fillId="8" borderId="0" xfId="0" applyNumberFormat="1" applyFont="1" applyFill="1" applyAlignment="1" applyProtection="1">
      <alignment horizontal="center" vertical="center"/>
      <protection locked="0"/>
    </xf>
    <xf numFmtId="165" fontId="24" fillId="10" borderId="0" xfId="0" applyNumberFormat="1" applyFont="1" applyFill="1" applyAlignment="1" applyProtection="1">
      <alignment horizontal="center" vertical="center"/>
      <protection locked="0"/>
    </xf>
    <xf numFmtId="165" fontId="24" fillId="11" borderId="0" xfId="0" applyNumberFormat="1" applyFont="1" applyFill="1" applyAlignment="1" applyProtection="1">
      <alignment horizontal="center" vertical="center"/>
      <protection locked="0"/>
    </xf>
    <xf numFmtId="165" fontId="24" fillId="14" borderId="0" xfId="0" applyNumberFormat="1" applyFont="1" applyFill="1" applyAlignment="1" applyProtection="1">
      <alignment horizontal="center" vertical="center"/>
      <protection locked="0"/>
    </xf>
    <xf numFmtId="165" fontId="24" fillId="6" borderId="0" xfId="0" applyNumberFormat="1" applyFont="1" applyFill="1" applyAlignment="1" applyProtection="1">
      <alignment horizontal="center" vertical="center"/>
      <protection locked="0"/>
    </xf>
    <xf numFmtId="165" fontId="24" fillId="7" borderId="0" xfId="0" applyNumberFormat="1" applyFont="1" applyFill="1" applyAlignment="1" applyProtection="1">
      <alignment horizontal="center" vertical="center"/>
      <protection locked="0"/>
    </xf>
    <xf numFmtId="165" fontId="24" fillId="12" borderId="0" xfId="0" applyNumberFormat="1" applyFont="1" applyFill="1" applyAlignment="1" applyProtection="1">
      <alignment horizontal="center" vertical="center"/>
      <protection locked="0"/>
    </xf>
    <xf numFmtId="165" fontId="24" fillId="10" borderId="0" xfId="0" applyNumberFormat="1" applyFont="1" applyFill="1" applyAlignment="1">
      <alignment horizontal="center" vertical="center"/>
    </xf>
    <xf numFmtId="165" fontId="24" fillId="12" borderId="0" xfId="0" applyNumberFormat="1" applyFont="1" applyFill="1" applyAlignment="1">
      <alignment horizontal="center" vertical="center"/>
    </xf>
    <xf numFmtId="0" fontId="9" fillId="13" borderId="4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5" fillId="9" borderId="0" xfId="0" applyFont="1" applyFill="1" applyAlignment="1">
      <alignment horizontal="left" vertical="top"/>
    </xf>
    <xf numFmtId="0" fontId="44" fillId="9" borderId="0" xfId="0" applyFont="1" applyFill="1" applyAlignment="1">
      <alignment horizontal="left" vertical="top"/>
    </xf>
    <xf numFmtId="0" fontId="43" fillId="10" borderId="38" xfId="0" applyFont="1" applyFill="1" applyBorder="1" applyAlignment="1">
      <alignment horizontal="left" vertical="top" wrapText="1"/>
    </xf>
    <xf numFmtId="0" fontId="43" fillId="10" borderId="0" xfId="0" applyFont="1" applyFill="1" applyAlignment="1">
      <alignment horizontal="left" vertical="top" wrapText="1"/>
    </xf>
    <xf numFmtId="0" fontId="43" fillId="10" borderId="39" xfId="0" applyFont="1" applyFill="1" applyBorder="1" applyAlignment="1">
      <alignment horizontal="left" vertical="top" wrapText="1"/>
    </xf>
    <xf numFmtId="0" fontId="43" fillId="10" borderId="40" xfId="0" applyFont="1" applyFill="1" applyBorder="1" applyAlignment="1">
      <alignment horizontal="left" vertical="top" wrapText="1"/>
    </xf>
    <xf numFmtId="0" fontId="43" fillId="10" borderId="34" xfId="0" applyFont="1" applyFill="1" applyBorder="1" applyAlignment="1">
      <alignment horizontal="left" vertical="top" wrapText="1"/>
    </xf>
    <xf numFmtId="0" fontId="43" fillId="10" borderId="41" xfId="0" applyFont="1" applyFill="1" applyBorder="1" applyAlignment="1">
      <alignment horizontal="left" vertical="top" wrapText="1"/>
    </xf>
    <xf numFmtId="0" fontId="41" fillId="3" borderId="0" xfId="0" applyFont="1" applyFill="1" applyAlignment="1">
      <alignment horizontal="center" vertical="center"/>
    </xf>
    <xf numFmtId="0" fontId="42" fillId="4" borderId="0" xfId="0" applyFont="1" applyFill="1" applyAlignment="1">
      <alignment horizontal="center" vertical="center"/>
    </xf>
    <xf numFmtId="1" fontId="29" fillId="5" borderId="13" xfId="0" applyNumberFormat="1" applyFont="1" applyFill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/>
    </xf>
    <xf numFmtId="1" fontId="31" fillId="6" borderId="13" xfId="0" applyNumberFormat="1" applyFont="1" applyFill="1" applyBorder="1" applyAlignment="1">
      <alignment horizontal="center" vertical="center"/>
    </xf>
    <xf numFmtId="0" fontId="31" fillId="6" borderId="13" xfId="0" applyFont="1" applyFill="1" applyBorder="1" applyAlignment="1">
      <alignment horizontal="center" vertical="center"/>
    </xf>
    <xf numFmtId="0" fontId="39" fillId="11" borderId="12" xfId="0" applyFont="1" applyFill="1" applyBorder="1" applyAlignment="1">
      <alignment horizontal="center"/>
    </xf>
    <xf numFmtId="0" fontId="32" fillId="12" borderId="10" xfId="0" applyFont="1" applyFill="1" applyBorder="1" applyAlignment="1">
      <alignment horizontal="center"/>
    </xf>
    <xf numFmtId="2" fontId="40" fillId="11" borderId="14" xfId="0" applyNumberFormat="1" applyFont="1" applyFill="1" applyBorder="1" applyAlignment="1">
      <alignment horizontal="center" vertical="center"/>
    </xf>
    <xf numFmtId="0" fontId="33" fillId="12" borderId="3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28" fillId="5" borderId="1" xfId="0" applyFont="1" applyFill="1" applyBorder="1" applyAlignment="1">
      <alignment horizontal="center"/>
    </xf>
    <xf numFmtId="1" fontId="29" fillId="5" borderId="34" xfId="0" applyNumberFormat="1" applyFont="1" applyFill="1" applyBorder="1" applyAlignment="1">
      <alignment horizontal="center" vertical="center"/>
    </xf>
    <xf numFmtId="0" fontId="29" fillId="5" borderId="34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/>
    </xf>
    <xf numFmtId="164" fontId="29" fillId="5" borderId="35" xfId="0" applyNumberFormat="1" applyFont="1" applyFill="1" applyBorder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30" fillId="6" borderId="2" xfId="0" applyFont="1" applyFill="1" applyBorder="1" applyAlignment="1">
      <alignment horizontal="center"/>
    </xf>
    <xf numFmtId="0" fontId="30" fillId="6" borderId="1" xfId="0" applyFont="1" applyFill="1" applyBorder="1" applyAlignment="1">
      <alignment horizontal="center"/>
    </xf>
    <xf numFmtId="1" fontId="31" fillId="6" borderId="35" xfId="0" applyNumberFormat="1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/>
    </xf>
    <xf numFmtId="0" fontId="34" fillId="11" borderId="2" xfId="0" applyFont="1" applyFill="1" applyBorder="1" applyAlignment="1">
      <alignment horizontal="center"/>
    </xf>
    <xf numFmtId="0" fontId="36" fillId="12" borderId="11" xfId="0" applyFont="1" applyFill="1" applyBorder="1" applyAlignment="1">
      <alignment horizontal="center"/>
    </xf>
    <xf numFmtId="2" fontId="35" fillId="11" borderId="35" xfId="0" applyNumberFormat="1" applyFont="1" applyFill="1" applyBorder="1" applyAlignment="1">
      <alignment horizontal="center" vertical="center"/>
    </xf>
    <xf numFmtId="0" fontId="37" fillId="12" borderId="33" xfId="0" applyFont="1" applyFill="1" applyBorder="1" applyAlignment="1">
      <alignment horizontal="center" vertical="center"/>
    </xf>
    <xf numFmtId="0" fontId="36" fillId="12" borderId="1" xfId="0" applyFont="1" applyFill="1" applyBorder="1" applyAlignment="1">
      <alignment horizontal="center"/>
    </xf>
    <xf numFmtId="0" fontId="34" fillId="11" borderId="11" xfId="0" applyFont="1" applyFill="1" applyBorder="1" applyAlignment="1">
      <alignment horizontal="center"/>
    </xf>
    <xf numFmtId="166" fontId="37" fillId="12" borderId="34" xfId="0" applyNumberFormat="1" applyFont="1" applyFill="1" applyBorder="1" applyAlignment="1">
      <alignment horizontal="center" vertical="center"/>
    </xf>
    <xf numFmtId="0" fontId="35" fillId="11" borderId="33" xfId="0" applyFont="1" applyFill="1" applyBorder="1" applyAlignment="1">
      <alignment horizontal="center" vertical="center"/>
    </xf>
    <xf numFmtId="0" fontId="36" fillId="12" borderId="0" xfId="0" applyFont="1" applyFill="1" applyAlignment="1">
      <alignment horizontal="center"/>
    </xf>
    <xf numFmtId="0" fontId="36" fillId="12" borderId="10" xfId="0" applyFont="1" applyFill="1" applyBorder="1" applyAlignment="1">
      <alignment horizontal="center"/>
    </xf>
    <xf numFmtId="164" fontId="37" fillId="12" borderId="13" xfId="0" applyNumberFormat="1" applyFont="1" applyFill="1" applyBorder="1" applyAlignment="1">
      <alignment horizontal="center" vertical="center"/>
    </xf>
    <xf numFmtId="0" fontId="37" fillId="12" borderId="32" xfId="0" applyFont="1" applyFill="1" applyBorder="1" applyAlignment="1">
      <alignment horizontal="center" vertical="center"/>
    </xf>
    <xf numFmtId="0" fontId="28" fillId="5" borderId="36" xfId="0" applyFont="1" applyFill="1" applyBorder="1" applyAlignment="1">
      <alignment horizontal="center"/>
    </xf>
    <xf numFmtId="0" fontId="28" fillId="5" borderId="37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</cellXfs>
  <cellStyles count="1">
    <cellStyle name="Normal" xfId="0" builtinId="0"/>
  </cellStyles>
  <dxfs count="27">
    <dxf>
      <font>
        <color rgb="FF991B1B"/>
      </font>
      <fill>
        <patternFill patternType="solid">
          <fgColor indexed="64"/>
          <bgColor rgb="FFFEE2E2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  <dxf>
      <font>
        <color rgb="FF92400E"/>
      </font>
      <fill>
        <patternFill patternType="solid">
          <fgColor indexed="64"/>
          <bgColor rgb="FFFEF3C7"/>
        </patternFill>
      </fill>
    </dxf>
    <dxf>
      <font>
        <color rgb="FF1E3A5F"/>
      </font>
      <fill>
        <patternFill patternType="solid">
          <fgColor indexed="64"/>
          <bgColor rgb="FFDBEAFE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1E3A5F"/>
      </font>
      <fill>
        <patternFill patternType="solid">
          <fgColor indexed="64"/>
          <bgColor rgb="FFDBEAFE"/>
        </patternFill>
      </fill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b/>
        <i val="0"/>
        <color rgb="FF065F46"/>
      </font>
      <fill>
        <patternFill patternType="solid">
          <fgColor indexed="64"/>
          <bgColor rgb="FFD1FAE5"/>
        </patternFill>
      </fill>
    </dxf>
    <dxf>
      <font>
        <b/>
        <i val="0"/>
        <color rgb="FF1E3A5F"/>
      </font>
      <fill>
        <patternFill patternType="solid">
          <fgColor indexed="64"/>
          <bgColor rgb="FFDBEAFE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b/>
        <i val="0"/>
        <color rgb="FF1E3A5F"/>
      </font>
      <fill>
        <patternFill patternType="solid">
          <fgColor indexed="64"/>
          <bgColor rgb="FFDBEAFE"/>
        </patternFill>
      </fill>
    </dxf>
    <dxf>
      <font>
        <b/>
        <i val="0"/>
        <color rgb="FF065F46"/>
      </font>
      <fill>
        <patternFill patternType="solid">
          <fgColor indexed="64"/>
          <bgColor rgb="FFD1FAE5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b/>
        <i val="0"/>
        <color rgb="FF1E3A5F"/>
      </font>
      <fill>
        <patternFill patternType="solid">
          <fgColor indexed="64"/>
          <bgColor rgb="FFDBEAFE"/>
        </patternFill>
      </fill>
    </dxf>
    <dxf>
      <font>
        <b/>
        <i val="0"/>
        <color rgb="FF92400E"/>
      </font>
      <fill>
        <patternFill patternType="solid">
          <fgColor indexed="64"/>
          <bgColor rgb="FFFEF3C7"/>
        </patternFill>
      </fill>
    </dxf>
    <dxf>
      <font>
        <b/>
        <i val="0"/>
        <color rgb="FF065F46"/>
      </font>
      <fill>
        <patternFill patternType="solid">
          <fgColor indexed="64"/>
          <bgColor rgb="FFD1FAE5"/>
        </patternFill>
      </fill>
    </dxf>
    <dxf>
      <font>
        <color rgb="FF991B1B"/>
      </font>
      <fill>
        <patternFill patternType="solid">
          <fgColor indexed="64"/>
          <bgColor rgb="FFFEE2E2"/>
        </patternFill>
      </fill>
    </dxf>
    <dxf>
      <font>
        <color rgb="FF1E3A5F"/>
      </font>
      <fill>
        <patternFill patternType="solid">
          <fgColor indexed="64"/>
          <bgColor rgb="FFDBEAFE"/>
        </patternFill>
      </fill>
    </dxf>
    <dxf>
      <font>
        <color rgb="FF92400E"/>
      </font>
      <fill>
        <patternFill patternType="solid">
          <fgColor indexed="64"/>
          <bgColor rgb="FFFEF3C7"/>
        </patternFill>
      </fill>
    </dxf>
    <dxf>
      <font>
        <color rgb="FF065F46"/>
      </font>
      <fill>
        <patternFill patternType="solid">
          <fgColor indexed="64"/>
          <b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752475</xdr:colOff>
      <xdr:row>2</xdr:row>
      <xdr:rowOff>114299</xdr:rowOff>
    </xdr:from>
    <xdr:to>
      <xdr:col>11</xdr:col>
      <xdr:colOff>1142999</xdr:colOff>
      <xdr:row>24</xdr:row>
      <xdr:rowOff>200025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736EFAA-DBB2-F42B-6DE7-67AA5C9968DB}"/>
            </a:ext>
          </a:extLst>
        </xdr:cNvPr>
        <xdr:cNvSpPr txBox="1"/>
      </xdr:nvSpPr>
      <xdr:spPr>
        <a:xfrm>
          <a:off x="3038475" y="933449"/>
          <a:ext cx="9153524" cy="60864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Estudiante de Ing. Química,</a:t>
          </a:r>
          <a:endParaRPr lang="es-AR" sz="14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s-AR" sz="14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AR" sz="1400" b="0" i="0">
              <a:latin typeface="Times New Roman" panose="02020603050405020304" pitchFamily="18" charset="0"/>
              <a:cs typeface="Times New Roman" panose="02020603050405020304" pitchFamily="18" charset="0"/>
            </a:rPr>
            <a:t>	</a:t>
          </a:r>
          <a:r>
            <a:rPr lang="es-AR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Tengo</a:t>
          </a:r>
          <a:r>
            <a:rPr lang="es-AR" sz="12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 el agrado de presentar una planilla de cálculo para que puedas realizar tu seguimiento del avance en la carrera por la que, con mucho esfuerzo, estás procurando terminar. </a:t>
          </a:r>
        </a:p>
        <a:p>
          <a:endParaRPr lang="es-AR" sz="12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AR" sz="1200" b="0" i="0" baseline="0">
              <a:latin typeface="Times New Roman" panose="02020603050405020304" pitchFamily="18" charset="0"/>
              <a:cs typeface="Times New Roman" panose="02020603050405020304" pitchFamily="18" charset="0"/>
            </a:rPr>
            <a:t>El detalle de la información que puede determinar esta planilla se puede ver en la hoja de "Seguimiento" y en la de "Finales". Por lo tanto, resulta importante destacar algunos funcionamientos clave:</a:t>
          </a:r>
        </a:p>
        <a:p>
          <a:endParaRPr lang="es-AR" sz="1200" b="0" i="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AR" sz="1400" b="1" i="1">
              <a:latin typeface="Times New Roman" panose="02020603050405020304" pitchFamily="18" charset="0"/>
              <a:cs typeface="Times New Roman" panose="02020603050405020304" pitchFamily="18" charset="0"/>
            </a:rPr>
            <a:t>	</a:t>
          </a:r>
          <a:r>
            <a:rPr lang="es-AR" sz="1100">
              <a:solidFill>
                <a:schemeClr val="dk1"/>
              </a:solidFill>
              <a:latin typeface="+mn-lt"/>
              <a:ea typeface="+mn-ea"/>
              <a:cs typeface="+mn-cs"/>
            </a:rPr>
            <a:t>▪     </a:t>
          </a:r>
          <a:r>
            <a:rPr lang="es-AR" sz="120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Columna "Estado": en</a:t>
          </a:r>
          <a:r>
            <a:rPr lang="es-AR" sz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esta columna al hacer click en una celda se despliega un menú de opciones para marcar la condición de la </a:t>
          </a:r>
        </a:p>
        <a:p>
          <a:r>
            <a:rPr lang="es-AR" sz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materia. Esta columna es fundamental para eliminar las correlativas de las materias que la requieren y para el cálculo</a:t>
          </a:r>
        </a:p>
        <a:p>
          <a:r>
            <a:rPr lang="es-AR" sz="1200" b="1" i="1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</a:t>
          </a:r>
          <a:r>
            <a:rPr lang="es-AR" sz="1200" b="0" i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del avance en la carrera (aprobadas, % avance, regulares, disponibles para cursar y no cursadas/cursando).</a:t>
          </a:r>
        </a:p>
        <a:p>
          <a:endParaRPr lang="es-AR" sz="1200" b="0" i="0" baseline="0">
            <a:solidFill>
              <a:schemeClr val="dk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s-AR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▪     </a:t>
          </a:r>
          <a:r>
            <a:rPr lang="es-AR" sz="120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Columna "Nota</a:t>
          </a:r>
          <a:r>
            <a:rPr lang="es-AR" sz="1200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final</a:t>
          </a:r>
          <a:r>
            <a:rPr lang="es-AR" sz="120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": esta columna puede editarse directamente colocando el número de la nota final en la materia aprobada. </a:t>
          </a:r>
        </a:p>
        <a:p>
          <a:r>
            <a:rPr lang="es-AR" sz="120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Sin embargo, si rendiste algún final resulta findamental que completes la información de las mesas en las que te</a:t>
          </a:r>
          <a:endParaRPr lang="es-AR" sz="1200" baseline="0">
            <a:solidFill>
              <a:sysClr val="windowText" lastClr="000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s-AR" sz="1200" b="1" i="1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	</a:t>
          </a:r>
          <a:r>
            <a:rPr lang="es-AR" sz="1200" b="0" i="0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presentaste en la hoja de "Finales"; de esta manera, puede calcularse tu promedio con aplazos. (La columna de "Nota 		final" en la hoja de "Finales" no está disponible para la edición y se completa automáticamente con la nota más alta 		registrada en las mesas).</a:t>
          </a:r>
        </a:p>
        <a:p>
          <a:endParaRPr lang="es-AR" sz="1200" b="0" i="0" baseline="0">
            <a:solidFill>
              <a:sysClr val="windowText" lastClr="000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▪     </a:t>
          </a:r>
          <a:r>
            <a:rPr lang="es-AR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Columna "Materias</a:t>
          </a:r>
          <a:r>
            <a:rPr lang="es-AR" sz="12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faltantes"</a:t>
          </a:r>
          <a:r>
            <a:rPr lang="es-AR" sz="12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: columna</a:t>
          </a:r>
          <a:r>
            <a:rPr lang="es-AR" sz="12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no editable, indica las materias necesarias para poder cursar la asignatura en cuestión. 		Se eliminan automáticamente a medida que se completa la columna "Estado" y, en caso de estar disponible la 		cursada, cambia la condición de la columna "Disponible"</a:t>
          </a:r>
          <a:endParaRPr lang="es-AR" sz="1200" b="0" i="0" baseline="0">
            <a:solidFill>
              <a:sysClr val="windowText" lastClr="000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s-AR" sz="1200" b="0" i="0" baseline="0">
            <a:solidFill>
              <a:sysClr val="windowText" lastClr="000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▪     </a:t>
          </a:r>
          <a:r>
            <a:rPr lang="es-AR" sz="120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Electivas: las</a:t>
          </a:r>
          <a:r>
            <a:rPr lang="es-AR" sz="1200" baseline="0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electivas en detalle se corresponden con las proporcionadas al día de la publicación por el departamento de ing. 		química. Sólo se toma en cuenta las del plan 2023 y es posible que cambien con el pasar de los ciclos lectivos debido 		a cuestiones internas de la facultad.</a:t>
          </a:r>
        </a:p>
        <a:p>
          <a:endParaRPr lang="es-AR" sz="1200" b="1" i="1" baseline="0">
            <a:solidFill>
              <a:sysClr val="windowText" lastClr="000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s-AR" sz="1200" b="0" i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Sin mucho más por decir, espero de corazón que</a:t>
          </a:r>
          <a:r>
            <a:rPr lang="es-AR" sz="1200" b="0" i="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s-AR" sz="1200" b="0" i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estés bien y esta</a:t>
          </a:r>
          <a:r>
            <a:rPr lang="es-AR" sz="1200" b="0" i="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planilla te sirva para organizarte.</a:t>
          </a:r>
        </a:p>
        <a:p>
          <a:endParaRPr lang="es-AR" sz="1200" b="0" i="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AR" sz="1200" b="0" i="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Saludos,</a:t>
          </a:r>
        </a:p>
        <a:p>
          <a:endParaRPr lang="es-AR" sz="1200" b="0" i="0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s-AR" sz="1200" b="1" i="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Lautaro R. Zalazar</a:t>
          </a:r>
        </a:p>
        <a:p>
          <a:r>
            <a:rPr lang="es-AR" sz="1200" b="0" i="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Miembro socio de AChETIQ - 2026</a:t>
          </a:r>
          <a:endParaRPr lang="es-AR" sz="1200" b="0" i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A37C42-E3A6-47C0-860C-12811EF45F6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fc78de1-7145-4231-a200-69d115206d3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B0D3-ECBD-41CD-8431-C3047ECBFC0D}">
  <dimension ref="A1:AA101"/>
  <sheetViews>
    <sheetView tabSelected="1" topLeftCell="A7" zoomScale="70" zoomScaleNormal="70" workbookViewId="0">
      <selection activeCell="Q19" sqref="Q19"/>
    </sheetView>
  </sheetViews>
  <sheetFormatPr baseColWidth="10" defaultRowHeight="15" x14ac:dyDescent="0.25"/>
  <cols>
    <col min="1" max="1" width="7.7109375" customWidth="1"/>
    <col min="2" max="2" width="9.140625" customWidth="1"/>
    <col min="3" max="3" width="49.5703125" customWidth="1"/>
    <col min="4" max="5" width="18.140625" customWidth="1"/>
    <col min="6" max="6" width="16.140625" customWidth="1"/>
    <col min="7" max="7" width="12.42578125" customWidth="1"/>
    <col min="8" max="8" width="20" customWidth="1"/>
    <col min="9" max="9" width="61" customWidth="1"/>
    <col min="10" max="10" width="11.85546875" customWidth="1"/>
    <col min="11" max="11" width="19" customWidth="1"/>
  </cols>
  <sheetData>
    <row r="1" spans="1:27" ht="48" customHeight="1" x14ac:dyDescent="0.25">
      <c r="A1" s="270" t="s">
        <v>124</v>
      </c>
      <c r="B1" s="270"/>
      <c r="C1" s="270"/>
      <c r="D1" s="270"/>
      <c r="E1" s="270"/>
      <c r="F1" s="270"/>
      <c r="G1" s="270"/>
      <c r="H1" s="270"/>
      <c r="I1" s="270"/>
      <c r="J1" s="7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7.95" customHeight="1" x14ac:dyDescent="0.25">
      <c r="A2" s="271" t="s">
        <v>125</v>
      </c>
      <c r="B2" s="271"/>
      <c r="C2" s="271"/>
      <c r="D2" s="271"/>
      <c r="E2" s="271"/>
      <c r="F2" s="271"/>
      <c r="G2" s="271"/>
      <c r="H2" s="271"/>
      <c r="I2" s="271"/>
      <c r="J2" s="8"/>
      <c r="K2" s="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9.9499999999999993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30" customHeight="1" x14ac:dyDescent="0.25">
      <c r="A4" s="274" t="s">
        <v>126</v>
      </c>
      <c r="B4" s="274"/>
      <c r="C4" s="277" t="s">
        <v>128</v>
      </c>
      <c r="D4" s="274"/>
      <c r="E4" s="280" t="s">
        <v>165</v>
      </c>
      <c r="F4" s="281"/>
      <c r="G4" s="284" t="s">
        <v>143</v>
      </c>
      <c r="H4" s="285"/>
      <c r="I4" s="288" t="s">
        <v>167</v>
      </c>
      <c r="J4" s="289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44.1" customHeight="1" x14ac:dyDescent="0.25">
      <c r="A5" s="275">
        <f>COUNTIF(F12:F64,"Aprobada")</f>
        <v>0</v>
      </c>
      <c r="B5" s="276"/>
      <c r="C5" s="278">
        <f>IFERROR(COUNTIF(F12:F52,"Aprobada")/41,0)</f>
        <v>0</v>
      </c>
      <c r="D5" s="279"/>
      <c r="E5" s="282">
        <f>COUNTIF(F12:F52,"No Cursada")+COUNTIF(F12:F52,"Cursando")</f>
        <v>41</v>
      </c>
      <c r="F5" s="283"/>
      <c r="G5" s="286" t="str">
        <f>IFERROR(AVERAGEIF(G12:G64,"&gt;="&amp;6),"—")</f>
        <v>—</v>
      </c>
      <c r="H5" s="287"/>
      <c r="I5" s="290" cm="1">
        <f t="array" ref="I5">SUMPRODUCT((F53:F65="Aprobada")*J53:J65)</f>
        <v>0</v>
      </c>
      <c r="J5" s="291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0" customHeight="1" x14ac:dyDescent="0.25">
      <c r="A6" s="296" t="s">
        <v>166</v>
      </c>
      <c r="B6" s="296"/>
      <c r="C6" s="296"/>
      <c r="D6" s="297"/>
      <c r="E6" s="263" t="s">
        <v>127</v>
      </c>
      <c r="F6" s="263"/>
      <c r="G6" s="266" t="s">
        <v>144</v>
      </c>
      <c r="H6" s="267"/>
      <c r="I6" s="292" t="s">
        <v>168</v>
      </c>
      <c r="J6" s="293"/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44.1" customHeight="1" thickBot="1" x14ac:dyDescent="0.3">
      <c r="A7" s="261">
        <f>COUNTIF(H12:H52,"✅ Disponible")</f>
        <v>9</v>
      </c>
      <c r="B7" s="261"/>
      <c r="C7" s="261"/>
      <c r="D7" s="262"/>
      <c r="E7" s="264">
        <f>COUNTIF(F12:F64,"Regular")</f>
        <v>0</v>
      </c>
      <c r="F7" s="265"/>
      <c r="G7" s="268" t="str" cm="1">
        <f t="array" ref="G7">IFERROR((SUMPRODUCT(IF(ISNUMBER(G12:G64),G12:G64,0))+SUMPRODUCT((ISNUMBER(Finales!G5:G57))*(Finales!G5:G57&lt;6)*Finales!G5:G57)+SUMPRODUCT((ISNUMBER(Finales!I5:I57))*(Finales!I5:I57&lt;6)*Finales!I5:I57)+SUMPRODUCT((ISNUMBER(Finales!K5:K57))*(Finales!K5:K57&lt;6)*Finales!K5:K57)+SUMPRODUCT((ISNUMBER(Finales!M5:M57))*(Finales!M5:M57&lt;6)*Finales!M5:M57)+SUMPRODUCT((ISNUMBER(Finales!O5:O57))*(Finales!O5:O57&lt;6)*Finales!O5:O57)+SUMPRODUCT((ISNUMBER(Finales!Q5:Q57))*(Finales!Q5:Q57&lt;6)*Finales!Q5:Q57))/(SUMPRODUCT(ISNUMBER(G12:G64)*1)+SUMPRODUCT((ISNUMBER(Finales!G5:G57))*(Finales!G5:G57&lt;6))+SUMPRODUCT((ISNUMBER(Finales!I5:I57))*(Finales!I5:I57&lt;6))+SUMPRODUCT((ISNUMBER(Finales!K5:K57))*(Finales!K5:K57&lt;6))+SUMPRODUCT((ISNUMBER(Finales!M5:M57))*(Finales!M5:M57&lt;6))+SUMPRODUCT((ISNUMBER(Finales!O5:O57))*(Finales!O5:O57&lt;6))+SUMPRODUCT((ISNUMBER(Finales!Q5:Q57))*(Finales!Q5:Q57&lt;6))),"—")</f>
        <v>—</v>
      </c>
      <c r="H7" s="269"/>
      <c r="I7" s="294" cm="1">
        <f t="array" ref="I7">IFERROR(SUMPRODUCT((F53:F65="Aprobada")*J53:J65)/24,0)</f>
        <v>0</v>
      </c>
      <c r="J7" s="295"/>
      <c r="K7" s="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4" customHeight="1" x14ac:dyDescent="0.25">
      <c r="A8" s="272" t="s">
        <v>147</v>
      </c>
      <c r="B8" s="273"/>
      <c r="C8" s="273"/>
      <c r="D8" s="273"/>
      <c r="E8" s="273"/>
      <c r="F8" s="273"/>
      <c r="G8" s="273"/>
      <c r="H8" s="273"/>
      <c r="I8" s="273"/>
      <c r="J8" s="9"/>
      <c r="K8" s="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3.95" customHeigh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3.95" customHeigh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32.1" customHeight="1" thickBot="1" x14ac:dyDescent="0.3">
      <c r="A11" s="14" t="s">
        <v>0</v>
      </c>
      <c r="B11" s="12" t="s">
        <v>129</v>
      </c>
      <c r="C11" s="12" t="s">
        <v>130</v>
      </c>
      <c r="D11" s="12" t="s">
        <v>131</v>
      </c>
      <c r="E11" s="12" t="s">
        <v>132</v>
      </c>
      <c r="F11" s="12" t="s">
        <v>134</v>
      </c>
      <c r="G11" s="12" t="s">
        <v>133</v>
      </c>
      <c r="H11" s="12" t="s">
        <v>135</v>
      </c>
      <c r="I11" s="12" t="s">
        <v>136</v>
      </c>
      <c r="J11" s="15" t="s">
        <v>164</v>
      </c>
      <c r="K11" s="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6.1" customHeight="1" x14ac:dyDescent="0.25">
      <c r="A12" s="92">
        <v>1</v>
      </c>
      <c r="B12" s="93" t="s">
        <v>4</v>
      </c>
      <c r="C12" s="94" t="s">
        <v>5</v>
      </c>
      <c r="D12" s="95" t="s">
        <v>6</v>
      </c>
      <c r="E12" s="95" t="s">
        <v>6</v>
      </c>
      <c r="F12" s="96" t="s">
        <v>146</v>
      </c>
      <c r="G12" s="97" t="str">
        <f>IF(Finales!E5="","",Finales!E5)</f>
        <v/>
      </c>
      <c r="H12" s="98" t="str">
        <f t="shared" ref="H12:H19" si="0">IF(F12="Aprobada","✅ Aprobada",IF(F12="Regular","🔄 Regular",IF(F12="Cursando","📖 Cursando","✅ Disponible")))</f>
        <v>✅ Disponible</v>
      </c>
      <c r="I12" s="99" t="str">
        <f t="shared" ref="I12:I19" si="1">IF(F12="No Cursada","Sin correlativas","-")</f>
        <v>Sin correlativas</v>
      </c>
      <c r="J12" s="100">
        <v>3</v>
      </c>
      <c r="K12" s="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6.1" customHeight="1" x14ac:dyDescent="0.25">
      <c r="A13" s="16">
        <v>2</v>
      </c>
      <c r="B13" s="17" t="s">
        <v>4</v>
      </c>
      <c r="C13" s="18" t="s">
        <v>7</v>
      </c>
      <c r="D13" s="13" t="s">
        <v>6</v>
      </c>
      <c r="E13" s="13" t="s">
        <v>6</v>
      </c>
      <c r="F13" s="101" t="s">
        <v>146</v>
      </c>
      <c r="G13" s="203" t="str">
        <f>IF(Finales!E6="","",Finales!E6)</f>
        <v/>
      </c>
      <c r="H13" s="102" t="str">
        <f t="shared" si="0"/>
        <v>✅ Disponible</v>
      </c>
      <c r="I13" s="19" t="str">
        <f t="shared" si="1"/>
        <v>Sin correlativas</v>
      </c>
      <c r="J13" s="20">
        <v>2</v>
      </c>
      <c r="K13" s="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6.1" customHeight="1" x14ac:dyDescent="0.25">
      <c r="A14" s="103">
        <v>3</v>
      </c>
      <c r="B14" s="66" t="s">
        <v>4</v>
      </c>
      <c r="C14" s="67" t="s">
        <v>8</v>
      </c>
      <c r="D14" s="104" t="s">
        <v>6</v>
      </c>
      <c r="E14" s="104" t="s">
        <v>6</v>
      </c>
      <c r="F14" s="105" t="s">
        <v>146</v>
      </c>
      <c r="G14" s="202" t="str">
        <f>IF(Finales!E7="","",Finales!E7)</f>
        <v/>
      </c>
      <c r="H14" s="106" t="str">
        <f t="shared" si="0"/>
        <v>✅ Disponible</v>
      </c>
      <c r="I14" s="107" t="str">
        <f t="shared" si="1"/>
        <v>Sin correlativas</v>
      </c>
      <c r="J14" s="108">
        <v>5</v>
      </c>
      <c r="K14" s="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6.1" customHeight="1" x14ac:dyDescent="0.25">
      <c r="A15" s="16">
        <v>4</v>
      </c>
      <c r="B15" s="17" t="s">
        <v>4</v>
      </c>
      <c r="C15" s="18" t="s">
        <v>9</v>
      </c>
      <c r="D15" s="13" t="s">
        <v>6</v>
      </c>
      <c r="E15" s="13" t="s">
        <v>6</v>
      </c>
      <c r="F15" s="101" t="s">
        <v>146</v>
      </c>
      <c r="G15" s="203" t="str">
        <f>IF(Finales!E8="","",Finales!E8)</f>
        <v/>
      </c>
      <c r="H15" s="102" t="str">
        <f t="shared" si="0"/>
        <v>✅ Disponible</v>
      </c>
      <c r="I15" s="19" t="str">
        <f t="shared" si="1"/>
        <v>Sin correlativas</v>
      </c>
      <c r="J15" s="20">
        <v>5</v>
      </c>
      <c r="K15" s="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6.1" customHeight="1" x14ac:dyDescent="0.25">
      <c r="A16" s="103">
        <v>5</v>
      </c>
      <c r="B16" s="66" t="s">
        <v>4</v>
      </c>
      <c r="C16" s="67" t="s">
        <v>10</v>
      </c>
      <c r="D16" s="104" t="s">
        <v>6</v>
      </c>
      <c r="E16" s="104" t="s">
        <v>6</v>
      </c>
      <c r="F16" s="105" t="s">
        <v>146</v>
      </c>
      <c r="G16" s="202" t="str">
        <f>IF(Finales!E9="","",Finales!E9)</f>
        <v/>
      </c>
      <c r="H16" s="106" t="str">
        <f t="shared" si="0"/>
        <v>✅ Disponible</v>
      </c>
      <c r="I16" s="107" t="str">
        <f t="shared" si="1"/>
        <v>Sin correlativas</v>
      </c>
      <c r="J16" s="108">
        <v>5</v>
      </c>
      <c r="K16" s="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6.1" customHeight="1" x14ac:dyDescent="0.25">
      <c r="A17" s="16">
        <v>6</v>
      </c>
      <c r="B17" s="17" t="s">
        <v>4</v>
      </c>
      <c r="C17" s="18" t="s">
        <v>11</v>
      </c>
      <c r="D17" s="13" t="s">
        <v>6</v>
      </c>
      <c r="E17" s="13" t="s">
        <v>6</v>
      </c>
      <c r="F17" s="101" t="s">
        <v>146</v>
      </c>
      <c r="G17" s="203" t="str">
        <f>IF(Finales!E10="","",Finales!E10)</f>
        <v/>
      </c>
      <c r="H17" s="102" t="str">
        <f t="shared" si="0"/>
        <v>✅ Disponible</v>
      </c>
      <c r="I17" s="19" t="str">
        <f t="shared" si="1"/>
        <v>Sin correlativas</v>
      </c>
      <c r="J17" s="20">
        <v>5</v>
      </c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6.1" customHeight="1" x14ac:dyDescent="0.25">
      <c r="A18" s="103">
        <v>7</v>
      </c>
      <c r="B18" s="66" t="s">
        <v>4</v>
      </c>
      <c r="C18" s="67" t="s">
        <v>12</v>
      </c>
      <c r="D18" s="104" t="s">
        <v>6</v>
      </c>
      <c r="E18" s="104" t="s">
        <v>6</v>
      </c>
      <c r="F18" s="105" t="s">
        <v>146</v>
      </c>
      <c r="G18" s="202" t="str">
        <f>IF(Finales!E11="","",Finales!E11)</f>
        <v/>
      </c>
      <c r="H18" s="106" t="str">
        <f t="shared" si="0"/>
        <v>✅ Disponible</v>
      </c>
      <c r="I18" s="107" t="str">
        <f t="shared" si="1"/>
        <v>Sin correlativas</v>
      </c>
      <c r="J18" s="108">
        <v>2</v>
      </c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6.1" customHeight="1" thickBot="1" x14ac:dyDescent="0.3">
      <c r="A19" s="16">
        <v>8</v>
      </c>
      <c r="B19" s="17" t="s">
        <v>4</v>
      </c>
      <c r="C19" s="18" t="s">
        <v>13</v>
      </c>
      <c r="D19" s="13" t="s">
        <v>6</v>
      </c>
      <c r="E19" s="13" t="s">
        <v>6</v>
      </c>
      <c r="F19" s="101" t="s">
        <v>146</v>
      </c>
      <c r="G19" s="203" t="str">
        <f>IF(Finales!E12="","",Finales!E12)</f>
        <v/>
      </c>
      <c r="H19" s="102" t="str">
        <f t="shared" si="0"/>
        <v>✅ Disponible</v>
      </c>
      <c r="I19" s="19" t="str">
        <f t="shared" si="1"/>
        <v>Sin correlativas</v>
      </c>
      <c r="J19" s="20">
        <v>2</v>
      </c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6.1" customHeight="1" x14ac:dyDescent="0.25">
      <c r="A20" s="109">
        <v>9</v>
      </c>
      <c r="B20" s="110" t="s">
        <v>20</v>
      </c>
      <c r="C20" s="111" t="s">
        <v>14</v>
      </c>
      <c r="D20" s="112" t="s">
        <v>88</v>
      </c>
      <c r="E20" s="112" t="s">
        <v>6</v>
      </c>
      <c r="F20" s="113" t="s">
        <v>146</v>
      </c>
      <c r="G20" s="204" t="str">
        <f>IF(Finales!E13="","",Finales!E13)</f>
        <v/>
      </c>
      <c r="H20" s="114" t="str">
        <f>IF(F20="Aprobada","✅ Aprobada",IF(F20="Regular","🔄 Regular",IF(F20="Cursando","📖 Cursando",IF(AND(OR(Datos!A2="Regular",Datos!A2="Aprobada"),OR(Datos!A7="Regular",Datos!A7="Aprobada")),"✅ Disponible","❌ No Disponible"))))</f>
        <v>❌ No Disponible</v>
      </c>
      <c r="I20" s="115" t="str">
        <f>IF(OR(F20="Aprobada",F20="Regular"),"-",IF(H20="✅ Disponible","Sin faltantes",IF(AND(Datos!A2&lt;&gt;"Regular",Datos!A2&lt;&gt;"Aprobada"),A12&amp;"-"&amp;C12&amp;" (cursar); ","")&amp;IF(AND(Datos!A7&lt;&gt;"Regular",Datos!A7&lt;&gt;"Aprobada"),A17&amp;"-"&amp;C17&amp;" (cursar); ","")))</f>
        <v xml:space="preserve">1-Introducción a la Ingeniería Química (cursar); 6-Química (cursar); </v>
      </c>
      <c r="J20" s="116">
        <v>3</v>
      </c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6.1" customHeight="1" x14ac:dyDescent="0.25">
      <c r="A21" s="16">
        <v>10</v>
      </c>
      <c r="B21" s="21" t="s">
        <v>20</v>
      </c>
      <c r="C21" s="18" t="s">
        <v>16</v>
      </c>
      <c r="D21" s="13" t="s">
        <v>89</v>
      </c>
      <c r="E21" s="13" t="s">
        <v>6</v>
      </c>
      <c r="F21" s="101" t="s">
        <v>146</v>
      </c>
      <c r="G21" s="203" t="str">
        <f>IF(Finales!E14="","",Finales!E14)</f>
        <v/>
      </c>
      <c r="H21" s="117" t="str">
        <f>IF(F21="Aprobada","✅ Aprobada",IF(F21="Regular","🔄 Regular",IF(F21="Cursando","📖 Cursando",IF(AND(OR(Datos!A4="Regular",Datos!A4="Aprobada"),OR(Datos!A5="Regular",Datos!A5="Aprobada")),"✅ Disponible","❌ No Disponible"))))</f>
        <v>❌ No Disponible</v>
      </c>
      <c r="I21" s="19" t="str">
        <f>IF(OR(F21="Aprobada",F21="Regular"),"-",IF(H21="✅ Disponible","Sin faltantes",IF(AND(Datos!A4&lt;&gt;"Regular",Datos!A4&lt;&gt;"Aprobada"),A14&amp;"-"&amp;C14&amp;" (cursar); ","")&amp;IF(AND(Datos!A5&lt;&gt;"Regular",Datos!A5&lt;&gt;"Aprobada"),A15&amp;"-"&amp;C15&amp;" (cursar); ","")))</f>
        <v xml:space="preserve">3-Álgebra y Geometría Analítica (cursar); 4-Análisis Matemático I (cursar); </v>
      </c>
      <c r="J21" s="20">
        <v>3</v>
      </c>
      <c r="K21" s="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6.1" customHeight="1" x14ac:dyDescent="0.25">
      <c r="A22" s="118">
        <v>11</v>
      </c>
      <c r="B22" s="69" t="s">
        <v>20</v>
      </c>
      <c r="C22" s="70" t="s">
        <v>18</v>
      </c>
      <c r="D22" s="119">
        <v>6</v>
      </c>
      <c r="E22" s="119" t="s">
        <v>6</v>
      </c>
      <c r="F22" s="37" t="s">
        <v>146</v>
      </c>
      <c r="G22" s="205" t="str">
        <f>IF(Finales!E15="","",Finales!E15)</f>
        <v/>
      </c>
      <c r="H22" s="120" t="str">
        <f>IF(F22="Aprobada","✅ Aprobada",IF(F22="Regular","🔄 Regular",IF(F22="Cursando","📖 Cursando",IF(AND(OR(Datos!A7="Regular",Datos!A7="Aprobada")),"✅ Disponible","❌ No Disponible"))))</f>
        <v>❌ No Disponible</v>
      </c>
      <c r="I22" s="121" t="str">
        <f>IF(OR(F22="Aprobada",F22="Regular"),"-",IF(H22="✅ Disponible","Sin faltantes",IF(AND(Datos!A7&lt;&gt;"Regular",Datos!A7&lt;&gt;"Aprobada"),A17&amp;"-"&amp;C17&amp;" (cursar); ","")))</f>
        <v xml:space="preserve">6-Química (cursar); </v>
      </c>
      <c r="J22" s="122">
        <v>4</v>
      </c>
      <c r="K22" s="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6.1" customHeight="1" x14ac:dyDescent="0.25">
      <c r="A23" s="16">
        <v>12</v>
      </c>
      <c r="B23" s="21" t="s">
        <v>20</v>
      </c>
      <c r="C23" s="18" t="s">
        <v>19</v>
      </c>
      <c r="D23" s="13" t="s">
        <v>89</v>
      </c>
      <c r="E23" s="13" t="s">
        <v>6</v>
      </c>
      <c r="F23" s="101" t="s">
        <v>146</v>
      </c>
      <c r="G23" s="203" t="str">
        <f>IF(Finales!E16="","",Finales!E16)</f>
        <v/>
      </c>
      <c r="H23" s="117" t="str">
        <f>IF(F23="Aprobada","✅ Aprobada",IF(F23="Regular","🔄 Regular",IF(F23="Cursando","📖 Cursando",IF(AND(OR(Datos!A4="Regular",Datos!A4="Aprobada"),OR(Datos!A5="Regular",Datos!A5="Aprobada")),"✅ Disponible","❌ No Disponible"))))</f>
        <v>❌ No Disponible</v>
      </c>
      <c r="I23" s="19" t="str">
        <f>IF(OR(F23="Aprobada",F23="Regular"),"-",IF(H23="✅ Disponible","Sin faltantes",IF(AND(Datos!A4&lt;&gt;"Regular",Datos!A4&lt;&gt;"Aprobada"),A14&amp;"-"&amp;C14&amp;" (cursar); ","")&amp;IF(AND(Datos!A5&lt;&gt;"Regular",Datos!A5&lt;&gt;"Aprobada"),A15&amp;"-"&amp;C15&amp;" (cursar); ","")))</f>
        <v xml:space="preserve">3-Álgebra y Geometría Analítica (cursar); 4-Análisis Matemático I (cursar); </v>
      </c>
      <c r="J23" s="20">
        <v>5</v>
      </c>
      <c r="K23" s="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6.1" customHeight="1" x14ac:dyDescent="0.25">
      <c r="A24" s="118">
        <v>13</v>
      </c>
      <c r="B24" s="69" t="s">
        <v>20</v>
      </c>
      <c r="C24" s="70" t="s">
        <v>21</v>
      </c>
      <c r="D24" s="119" t="s">
        <v>90</v>
      </c>
      <c r="E24" s="119" t="s">
        <v>6</v>
      </c>
      <c r="F24" s="37" t="s">
        <v>146</v>
      </c>
      <c r="G24" s="205" t="str">
        <f>IF(Finales!E17="","",Finales!E17)</f>
        <v/>
      </c>
      <c r="H24" s="120" t="str">
        <f>IF(F24="Aprobada","✅ Aprobada",IF(F24="Regular","🔄 Regular",IF(F24="Cursando","📖 Cursando",IF(AND(OR(Datos!A5="Regular",Datos!A5="Aprobada"),OR(Datos!A6="Regular",Datos!A6="Aprobada")),"✅ Disponible","❌ No Disponible"))))</f>
        <v>❌ No Disponible</v>
      </c>
      <c r="I24" s="121" t="str">
        <f>IF(OR(F24="Aprobada",F24="Regular"),"-",IF(H24="✅ Disponible","Sin faltantes",IF(AND(Datos!A5&lt;&gt;"Regular",Datos!A5&lt;&gt;"Aprobada"),A15&amp;"-"&amp;C15&amp;" (cursar); ","")&amp;IF(AND(Datos!A6&lt;&gt;"Regular",Datos!A6&lt;&gt;"Aprobada"),A16&amp;"-"&amp;C16&amp;" (cursar); ","")))</f>
        <v xml:space="preserve">4-Análisis Matemático I (cursar); 5-Física I (cursar); </v>
      </c>
      <c r="J24" s="122">
        <v>5</v>
      </c>
      <c r="K24" s="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26.1" customHeight="1" x14ac:dyDescent="0.25">
      <c r="A25" s="16">
        <v>14</v>
      </c>
      <c r="B25" s="21" t="s">
        <v>20</v>
      </c>
      <c r="C25" s="18" t="s">
        <v>23</v>
      </c>
      <c r="D25" s="13">
        <v>6</v>
      </c>
      <c r="E25" s="13" t="s">
        <v>6</v>
      </c>
      <c r="F25" s="101" t="s">
        <v>146</v>
      </c>
      <c r="G25" s="203" t="str">
        <f>IF(Finales!E18="","",Finales!E18)</f>
        <v/>
      </c>
      <c r="H25" s="117" t="str">
        <f>IF(F25="Aprobada","✅ Aprobada",IF(F25="Regular","🔄 Regular",IF(F25="Cursando","📖 Cursando",IF(AND(OR(Datos!A7="Regular",Datos!A7="Aprobada")),"✅ Disponible","❌ No Disponible"))))</f>
        <v>❌ No Disponible</v>
      </c>
      <c r="I25" s="19" t="str">
        <f>IF(OR(F25="Aprobada",F25="Regular"),"-",IF(H25="✅ Disponible","Sin faltantes",IF(AND(Datos!A7&lt;&gt;"Regular",Datos!A7&lt;&gt;"Aprobada"),A17&amp;"-"&amp;C17&amp;" (cursar); ","")))</f>
        <v xml:space="preserve">6-Química (cursar); </v>
      </c>
      <c r="J25" s="20">
        <v>5</v>
      </c>
      <c r="K25" s="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6.1" customHeight="1" x14ac:dyDescent="0.25">
      <c r="A26" s="118">
        <v>15</v>
      </c>
      <c r="B26" s="69" t="s">
        <v>20</v>
      </c>
      <c r="C26" s="70" t="s">
        <v>24</v>
      </c>
      <c r="D26" s="119" t="s">
        <v>91</v>
      </c>
      <c r="E26" s="119" t="s">
        <v>6</v>
      </c>
      <c r="F26" s="37" t="s">
        <v>146</v>
      </c>
      <c r="G26" s="205" t="str">
        <f>IF(Finales!E19="","",Finales!E19)</f>
        <v/>
      </c>
      <c r="H26" s="120" t="str">
        <f>IF(F26="Aprobada","✅ Aprobada",IF(F26="Regular","🔄 Regular",IF(F26="Cursando","📖 Cursando",IF(AND(OR(Datos!A2="Regular",Datos!A2="Aprobada"),OR(Datos!A3="Regular",Datos!A3="Aprobada")),"✅ Disponible","❌ No Disponible"))))</f>
        <v>❌ No Disponible</v>
      </c>
      <c r="I26" s="121" t="str">
        <f>IF(OR(F26="Aprobada",F26="Regular"),"-",IF(H26="✅ Disponible","Sin faltantes",IF(AND(Datos!A2&lt;&gt;"Regular",Datos!A2&lt;&gt;"Aprobada"),A12&amp;"-"&amp;C12&amp;" (cursar); ","")&amp;IF(AND(Datos!A3&lt;&gt;"Regular",Datos!A3&lt;&gt;"Aprobada"),A13&amp;"-"&amp;C13&amp;" (cursar); ","")))</f>
        <v xml:space="preserve">1-Introducción a la Ingeniería Química (cursar); 2-Ingeniería y Sociedad (cursar); </v>
      </c>
      <c r="J26" s="122">
        <v>2</v>
      </c>
      <c r="K26" s="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26.1" customHeight="1" thickBot="1" x14ac:dyDescent="0.3">
      <c r="A27" s="16">
        <v>40</v>
      </c>
      <c r="B27" s="21" t="s">
        <v>20</v>
      </c>
      <c r="C27" s="18" t="s">
        <v>26</v>
      </c>
      <c r="D27" s="13" t="s">
        <v>6</v>
      </c>
      <c r="E27" s="13" t="s">
        <v>6</v>
      </c>
      <c r="F27" s="101" t="s">
        <v>146</v>
      </c>
      <c r="G27" s="203" t="str">
        <f>IF(Finales!E20="","",Finales!E20)</f>
        <v/>
      </c>
      <c r="H27" s="102" t="str">
        <f>IF(F27="Aprobada","✅ Aprobada",IF(F27="Regular","🔄 Regular",IF(F27="Cursando","📖 Cursando","✅ Disponible")))</f>
        <v>✅ Disponible</v>
      </c>
      <c r="I27" s="19" t="str">
        <f>IF(F27="No Cursada","Sin correlativas","-")</f>
        <v>Sin correlativas</v>
      </c>
      <c r="J27" s="20">
        <v>2</v>
      </c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26.1" customHeight="1" x14ac:dyDescent="0.25">
      <c r="A28" s="170">
        <v>16</v>
      </c>
      <c r="B28" s="171" t="s">
        <v>39</v>
      </c>
      <c r="C28" s="172" t="s">
        <v>27</v>
      </c>
      <c r="D28" s="173" t="s">
        <v>92</v>
      </c>
      <c r="E28" s="173" t="s">
        <v>93</v>
      </c>
      <c r="F28" s="174" t="s">
        <v>146</v>
      </c>
      <c r="G28" s="206" t="str">
        <f>IF(Finales!E21="","",Finales!E21)</f>
        <v/>
      </c>
      <c r="H28" s="175" t="str">
        <f>IF(F28="Aprobada","✅ Aprobada",IF(F28="Regular","🔄 Regular",IF(F28="Cursando","📖 Cursando",IF(AND(OR(Datos!A7="Regular",Datos!A7="Aprobada"),OR(Datos!A8="Regular",Datos!A8="Aprobada"),OR(Datos!A9="Regular",Datos!A9="Aprobada"),OR(Datos!A10="Regular",Datos!A10="Aprobada"),OR(Datos!A14="Regular",Datos!A14="Aprobada"),Datos!A2="Aprobada",Datos!A4="Aprobada",Datos!A5="Aprobada"),"✅ Disponible","❌ No Disponible"))))</f>
        <v>❌ No Disponible</v>
      </c>
      <c r="I28" s="176" t="str">
        <f>IF(OR(F28="Aprobada",F28="Regular"),"-",IF(H28="✅ Disponible","Sin faltantes",IF(AND(Datos!A7&lt;&gt;"Regular",Datos!A7&lt;&gt;"Aprobada"),A17&amp;"-"&amp;C17&amp;" (cursar); ","")&amp;IF(AND(Datos!A8&lt;&gt;"Regular",Datos!A8&lt;&gt;"Aprobada"),A18&amp;"-"&amp;C18&amp;" (cursar); ","")&amp;IF(AND(Datos!A9&lt;&gt;"Regular",Datos!A9&lt;&gt;"Aprobada"),A19&amp;"-"&amp;C19&amp;" (cursar); ","")&amp;IF(AND(Datos!A10&lt;&gt;"Regular",Datos!A10&lt;&gt;"Aprobada"),A20&amp;"-"&amp;C20&amp;" (cursar); ","")&amp;IF(AND(Datos!A14&lt;&gt;"Regular",Datos!A14&lt;&gt;"Aprobada"),A24&amp;"-"&amp;C24&amp;" (cursar); ","")&amp;IF(Datos!A2&lt;&gt;"Aprobada",A12&amp;"-"&amp;C12&amp;" (aprobar); ","")&amp;IF(Datos!A4&lt;&gt;"Aprobada",A14&amp;"-"&amp;C14&amp;" (aprobar); ","")&amp;IF(Datos!A5&lt;&gt;"Aprobada",A15&amp;"-"&amp;C15&amp;" (aprobar); ","")))</f>
        <v xml:space="preserve">6-Química (cursar); 7-Sistemas de Representación (cursar); 8-Fundamentos de Informática (cursar); 9-Introducción a Equipos y Procesos (cursar); 13-Física II (cursar); 1-Introducción a la Ingeniería Química (aprobar); 3-Álgebra y Geometría Analítica (aprobar); 4-Análisis Matemático I (aprobar); </v>
      </c>
      <c r="J28" s="177">
        <v>3</v>
      </c>
      <c r="K28" s="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6.1" customHeight="1" x14ac:dyDescent="0.25">
      <c r="A29" s="16">
        <v>17</v>
      </c>
      <c r="B29" s="22" t="s">
        <v>39</v>
      </c>
      <c r="C29" s="18" t="s">
        <v>30</v>
      </c>
      <c r="D29" s="13" t="s">
        <v>94</v>
      </c>
      <c r="E29" s="13" t="s">
        <v>95</v>
      </c>
      <c r="F29" s="101" t="s">
        <v>146</v>
      </c>
      <c r="G29" s="203" t="str">
        <f>IF(Finales!E22="","",Finales!E22)</f>
        <v/>
      </c>
      <c r="H29" s="117" t="str">
        <f>IF(F29="Aprobada","✅ Aprobada",IF(F29="Regular","🔄 Regular",IF(F29="Cursando","📖 Cursando",IF(AND(OR(Datos!A12="Regular",Datos!A12="Aprobada"),OR(Datos!A13="Regular",Datos!A13="Aprobada"),OR(Datos!A14="Regular",Datos!A14="Aprobada"),Datos!A5="Aprobada",Datos!A7="Aprobada"),"✅ Disponible","❌ No Disponible"))))</f>
        <v>❌ No Disponible</v>
      </c>
      <c r="I29" s="19" t="str">
        <f>IF(OR(F29="Aprobada",F29="Regular"),"-",IF(H29="✅ Disponible","Sin faltantes",IF(AND(Datos!A12&lt;&gt;"Regular",Datos!A12&lt;&gt;"Aprobada"),A22&amp;"-"&amp;C22&amp;" (cursar); ","")&amp;IF(AND(Datos!A13&lt;&gt;"Regular",Datos!A13&lt;&gt;"Aprobada"),A23&amp;"-"&amp;C23&amp;" (cursar); ","")&amp;IF(AND(Datos!A14&lt;&gt;"Regular",Datos!A14&lt;&gt;"Aprobada"),A24&amp;"-"&amp;C24&amp;" (cursar); ","")&amp;IF(Datos!A5&lt;&gt;"Aprobada",A15&amp;"-"&amp;C15&amp;" (aprobar); ","")&amp;IF(Datos!A7&lt;&gt;"Aprobada",A17&amp;"-"&amp;C17&amp;" (aprobar); ","")))</f>
        <v xml:space="preserve">11-Química Inorgánica (cursar); 12-Análisis Matemático II (cursar); 13-Física II (cursar); 4-Análisis Matemático I (aprobar); 6-Química (aprobar); </v>
      </c>
      <c r="J29" s="20">
        <v>4</v>
      </c>
      <c r="K29" s="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6.1" customHeight="1" x14ac:dyDescent="0.25">
      <c r="A30" s="178">
        <v>18</v>
      </c>
      <c r="B30" s="168" t="s">
        <v>39</v>
      </c>
      <c r="C30" s="169" t="s">
        <v>33</v>
      </c>
      <c r="D30" s="179">
        <v>12</v>
      </c>
      <c r="E30" s="179" t="s">
        <v>89</v>
      </c>
      <c r="F30" s="180" t="s">
        <v>146</v>
      </c>
      <c r="G30" s="207" t="str">
        <f>IF(Finales!E23="","",Finales!E23)</f>
        <v/>
      </c>
      <c r="H30" s="181" t="str">
        <f>IF(F30="Aprobada","✅ Aprobada",IF(F30="Regular","🔄 Regular",IF(F30="Cursando","📖 Cursando",IF(AND(OR(Datos!A13="Regular",Datos!A13="Aprobada"),Datos!A4="Aprobada",Datos!A5="Aprobada"),"✅ Disponible","❌ No Disponible"))))</f>
        <v>❌ No Disponible</v>
      </c>
      <c r="I30" s="182" t="str">
        <f>IF(OR(F30="Aprobada",F30="Regular"),"-",IF(H30="✅ Disponible","Sin faltantes",IF(AND(Datos!A13&lt;&gt;"Regular",Datos!A13&lt;&gt;"Aprobada"),A23&amp;"-"&amp;C23&amp;" (cursar); ","")&amp;IF(Datos!A4&lt;&gt;"Aprobada",A14&amp;"-"&amp;C14&amp;" (aprobar); ","")&amp;IF(Datos!A5&lt;&gt;"Aprobada",A15&amp;"-"&amp;C15&amp;" (aprobar); ","")))</f>
        <v xml:space="preserve">12-Análisis Matemático II (cursar); 3-Álgebra y Geometría Analítica (aprobar); 4-Análisis Matemático I (aprobar); </v>
      </c>
      <c r="J30" s="183">
        <v>3</v>
      </c>
      <c r="K30" s="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26.1" customHeight="1" x14ac:dyDescent="0.25">
      <c r="A31" s="16">
        <v>19</v>
      </c>
      <c r="B31" s="22" t="s">
        <v>39</v>
      </c>
      <c r="C31" s="18" t="s">
        <v>34</v>
      </c>
      <c r="D31" s="13" t="s">
        <v>96</v>
      </c>
      <c r="E31" s="13" t="s">
        <v>88</v>
      </c>
      <c r="F31" s="101" t="s">
        <v>146</v>
      </c>
      <c r="G31" s="203" t="str">
        <f>IF(Finales!E24="","",Finales!E24)</f>
        <v/>
      </c>
      <c r="H31" s="117" t="str">
        <f>IF(F31="Aprobada","✅ Aprobada",IF(F31="Regular","🔄 Regular",IF(F31="Cursando","📖 Cursando",IF(AND(OR(Datos!A10="Regular",Datos!A10="Aprobada"),OR(Datos!A12="Regular",Datos!A12="Aprobada"),OR(Datos!A15="Regular",Datos!A15="Aprobada"),Datos!A2="Aprobada",Datos!A7="Aprobada"),"✅ Disponible","❌ No Disponible"))))</f>
        <v>❌ No Disponible</v>
      </c>
      <c r="I31" s="19" t="str">
        <f>IF(OR(F31="Aprobada",F31="Regular"),"-",IF(H31="✅ Disponible","Sin faltantes",IF(AND(Datos!A10&lt;&gt;"Regular",Datos!A10&lt;&gt;"Aprobada"),A20&amp;"-"&amp;C20&amp;" (cursar); ","")&amp;IF(AND(Datos!A12&lt;&gt;"Regular",Datos!A12&lt;&gt;"Aprobada"),A22&amp;"-"&amp;C22&amp;" (cursar); ","")&amp;IF(AND(Datos!A15&lt;&gt;"Regular",Datos!A15&lt;&gt;"Aprobada"),A25&amp;"-"&amp;C25&amp;" (cursar); ","")&amp;IF(Datos!A2&lt;&gt;"Aprobada",A12&amp;"-"&amp;C12&amp;" (aprobar); ","")&amp;IF(Datos!A7&lt;&gt;"Aprobada",A17&amp;"-"&amp;C17&amp;" (aprobar); ","")))</f>
        <v xml:space="preserve">9-Introducción a Equipos y Procesos (cursar); 11-Química Inorgánica (cursar); 14-Química Orgánica (cursar); 1-Introducción a la Ingeniería Química (aprobar); 6-Química (aprobar); </v>
      </c>
      <c r="J31" s="20">
        <v>2</v>
      </c>
      <c r="K31" s="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6.1" customHeight="1" x14ac:dyDescent="0.25">
      <c r="A32" s="178">
        <v>20</v>
      </c>
      <c r="B32" s="168" t="s">
        <v>39</v>
      </c>
      <c r="C32" s="169" t="s">
        <v>36</v>
      </c>
      <c r="D32" s="179" t="s">
        <v>97</v>
      </c>
      <c r="E32" s="179" t="s">
        <v>98</v>
      </c>
      <c r="F32" s="180" t="s">
        <v>146</v>
      </c>
      <c r="G32" s="207" t="str">
        <f>IF(Finales!E25="","",Finales!E25)</f>
        <v/>
      </c>
      <c r="H32" s="181" t="str">
        <f>IF(F32="Aprobada","✅ Aprobada",IF(F32="Regular","🔄 Regular",IF(F32="Cursando","📖 Cursando",IF(AND(OR(Datos!A10="Regular",Datos!A10="Aprobada"),OR(Datos!A13="Regular",Datos!A13="Aprobada"),OR(Datos!A14="Regular",Datos!A14="Aprobada"),Datos!A4="Aprobada",Datos!A5="Aprobada",Datos!A7="Aprobada"),"✅ Disponible","❌ No Disponible"))))</f>
        <v>❌ No Disponible</v>
      </c>
      <c r="I32" s="182" t="str">
        <f>IF(OR(F32="Aprobada",F32="Regular"),"-",IF(H32="✅ Disponible","Sin faltantes",IF(AND(Datos!A10&lt;&gt;"Regular",Datos!A10&lt;&gt;"Aprobada"),A20&amp;"-"&amp;C20&amp;" (cursar); ","")&amp;IF(AND(Datos!A13&lt;&gt;"Regular",Datos!A13&lt;&gt;"Aprobada"),A23&amp;"-"&amp;C23&amp;" (cursar); ","")&amp;IF(AND(Datos!A14&lt;&gt;"Regular",Datos!A14&lt;&gt;"Aprobada"),A24&amp;"-"&amp;C24&amp;" (cursar); ","")&amp;IF(Datos!A4&lt;&gt;"Aprobada",A14&amp;"-"&amp;C14&amp;" (aprobar); ","")&amp;IF(Datos!A5&lt;&gt;"Aprobada",A15&amp;"-"&amp;C15&amp;" (aprobar); ","")&amp;IF(Datos!A7&lt;&gt;"Aprobada",A17&amp;"-"&amp;C17&amp;" (aprobar); ","")))</f>
        <v xml:space="preserve">9-Introducción a Equipos y Procesos (cursar); 12-Análisis Matemático II (cursar); 13-Física II (cursar); 3-Álgebra y Geometría Analítica (aprobar); 4-Análisis Matemático I (aprobar); 6-Química (aprobar); </v>
      </c>
      <c r="J32" s="183">
        <v>4</v>
      </c>
      <c r="K32" s="5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26.1" customHeight="1" x14ac:dyDescent="0.25">
      <c r="A33" s="16">
        <v>21</v>
      </c>
      <c r="B33" s="22" t="s">
        <v>39</v>
      </c>
      <c r="C33" s="18" t="s">
        <v>40</v>
      </c>
      <c r="D33" s="13" t="s">
        <v>97</v>
      </c>
      <c r="E33" s="13" t="s">
        <v>98</v>
      </c>
      <c r="F33" s="101" t="s">
        <v>146</v>
      </c>
      <c r="G33" s="203" t="str">
        <f>IF(Finales!E26="","",Finales!E26)</f>
        <v/>
      </c>
      <c r="H33" s="117" t="str">
        <f>IF(F33="Aprobada","✅ Aprobada",IF(F33="Regular","🔄 Regular",IF(F33="Cursando","📖 Cursando",IF(AND(OR(Datos!A10="Regular",Datos!A10="Aprobada"),OR(Datos!A13="Regular",Datos!A13="Aprobada"),OR(Datos!A14="Regular",Datos!A14="Aprobada"),Datos!A4="Aprobada",Datos!A5="Aprobada",Datos!A7="Aprobada"),"✅ Disponible","❌ No Disponible"))))</f>
        <v>❌ No Disponible</v>
      </c>
      <c r="I33" s="19" t="str">
        <f>IF(OR(F33="Aprobada",F33="Regular"),"-",IF(H33="✅ Disponible","Sin faltantes",IF(AND(Datos!A10&lt;&gt;"Regular",Datos!A10&lt;&gt;"Aprobada"),A20&amp;"-"&amp;C20&amp;" (cursar); ","")&amp;IF(AND(Datos!A13&lt;&gt;"Regular",Datos!A13&lt;&gt;"Aprobada"),A23&amp;"-"&amp;C23&amp;" (cursar); ","")&amp;IF(AND(Datos!A14&lt;&gt;"Regular",Datos!A14&lt;&gt;"Aprobada"),A24&amp;"-"&amp;C24&amp;" (cursar); ","")&amp;IF(Datos!A4&lt;&gt;"Aprobada",A14&amp;"-"&amp;C14&amp;" (aprobar); ","")&amp;IF(Datos!A5&lt;&gt;"Aprobada",A15&amp;"-"&amp;C15&amp;" (aprobar); ","")&amp;IF(Datos!A7&lt;&gt;"Aprobada",A17&amp;"-"&amp;C17&amp;" (aprobar); ","")))</f>
        <v xml:space="preserve">9-Introducción a Equipos y Procesos (cursar); 12-Análisis Matemático II (cursar); 13-Física II (cursar); 3-Álgebra y Geometría Analítica (aprobar); 4-Análisis Matemático I (aprobar); 6-Química (aprobar); </v>
      </c>
      <c r="J33" s="20">
        <v>5</v>
      </c>
      <c r="K33" s="5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26.1" customHeight="1" x14ac:dyDescent="0.25">
      <c r="A34" s="178">
        <v>22</v>
      </c>
      <c r="B34" s="168" t="s">
        <v>39</v>
      </c>
      <c r="C34" s="169" t="s">
        <v>41</v>
      </c>
      <c r="D34" s="179" t="s">
        <v>99</v>
      </c>
      <c r="E34" s="179" t="s">
        <v>100</v>
      </c>
      <c r="F34" s="180" t="s">
        <v>146</v>
      </c>
      <c r="G34" s="207" t="str">
        <f>IF(Finales!E27="","",Finales!E27)</f>
        <v/>
      </c>
      <c r="H34" s="181" t="str">
        <f>IF(F34="Aprobada","✅ Aprobada",IF(F34="Regular","🔄 Regular",IF(F34="Cursando","📖 Cursando",IF(AND(OR(Datos!A11="Regular",Datos!A11="Aprobada"),OR(Datos!A12="Regular",Datos!A12="Aprobada"),OR(Datos!A15="Regular",Datos!A15="Aprobada"),Datos!A3="Aprobada",Datos!A7="Aprobada"),"✅ Disponible","❌ No Disponible"))))</f>
        <v>❌ No Disponible</v>
      </c>
      <c r="I34" s="182" t="str">
        <f>IF(OR(F34="Aprobada",F34="Regular"),"-",IF(H34="✅ Disponible","Sin faltantes",IF(AND(Datos!A11&lt;&gt;"Regular",Datos!A11&lt;&gt;"Aprobada"),A21&amp;"-"&amp;C21&amp;" (cursar); ","")&amp;IF(AND(Datos!A12&lt;&gt;"Regular",Datos!A12&lt;&gt;"Aprobada"),A22&amp;"-"&amp;C22&amp;" (cursar); ","")&amp;IF(AND(Datos!A15&lt;&gt;"Regular",Datos!A15&lt;&gt;"Aprobada"),A25&amp;"-"&amp;C25&amp;" (cursar); ","")&amp;IF(Datos!A3&lt;&gt;"Aprobada",A13&amp;"-"&amp;C13&amp;" (aprobar); ","")&amp;IF(Datos!A7&lt;&gt;"Aprobada",A17&amp;"-"&amp;C17&amp;" (aprobar); ","")))</f>
        <v xml:space="preserve">10-Probabilidad y Estadística (cursar); 11-Química Inorgánica (cursar); 14-Química Orgánica (cursar); 2-Ingeniería y Sociedad (aprobar); 6-Química (aprobar); </v>
      </c>
      <c r="J34" s="183">
        <v>4</v>
      </c>
      <c r="K34" s="5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26.1" customHeight="1" x14ac:dyDescent="0.25">
      <c r="A35" s="16">
        <v>23</v>
      </c>
      <c r="B35" s="22" t="s">
        <v>39</v>
      </c>
      <c r="C35" s="18" t="s">
        <v>44</v>
      </c>
      <c r="D35" s="13" t="s">
        <v>101</v>
      </c>
      <c r="E35" s="13">
        <v>6</v>
      </c>
      <c r="F35" s="101" t="s">
        <v>146</v>
      </c>
      <c r="G35" s="203" t="str">
        <f>IF(Finales!E28="","",Finales!E28)</f>
        <v/>
      </c>
      <c r="H35" s="117" t="str">
        <f>IF(F35="Aprobada","✅ Aprobada",IF(F35="Regular","🔄 Regular",IF(F35="Cursando","📖 Cursando",IF(AND(OR(Datos!A12="Regular",Datos!A12="Aprobada"),OR(Datos!A15="Regular",Datos!A15="Aprobada"),Datos!A7="Aprobada"),"✅ Disponible","❌ No Disponible"))))</f>
        <v>❌ No Disponible</v>
      </c>
      <c r="I35" s="19" t="str">
        <f>IF(OR(F35="Aprobada",F35="Regular"),"-",IF(H35="✅ Disponible","Sin faltantes",IF(AND(Datos!A12&lt;&gt;"Regular",Datos!A12&lt;&gt;"Aprobada"),A22&amp;"-"&amp;C22&amp;" (cursar); ","")&amp;IF(AND(Datos!A15&lt;&gt;"Regular",Datos!A15&lt;&gt;"Aprobada"),A25&amp;"-"&amp;C25&amp;" (cursar); ","")&amp;IF(Datos!A7&lt;&gt;"Aprobada",A17&amp;"-"&amp;C17&amp;" (aprobar); ","")))</f>
        <v xml:space="preserve">11-Química Inorgánica (cursar); 14-Química Orgánica (cursar); 6-Química (aprobar); </v>
      </c>
      <c r="J35" s="20">
        <v>3</v>
      </c>
      <c r="K35" s="5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26.1" customHeight="1" x14ac:dyDescent="0.25">
      <c r="A36" s="178">
        <v>24</v>
      </c>
      <c r="B36" s="168" t="s">
        <v>39</v>
      </c>
      <c r="C36" s="169" t="s">
        <v>46</v>
      </c>
      <c r="D36" s="179" t="s">
        <v>102</v>
      </c>
      <c r="E36" s="179" t="s">
        <v>103</v>
      </c>
      <c r="F36" s="180" t="s">
        <v>146</v>
      </c>
      <c r="G36" s="207" t="str">
        <f>IF(Finales!E29="","",Finales!E29)</f>
        <v/>
      </c>
      <c r="H36" s="181" t="str">
        <f>IF(F36="Aprobada","✅ Aprobada",IF(F36="Regular","🔄 Regular",IF(F36="Cursando","📖 Cursando",IF(AND(OR(Datos!A10="Regular",Datos!A10="Aprobada"),OR(Datos!A12="Regular",Datos!A12="Aprobada"),OR(Datos!A14="Regular",Datos!A14="Aprobada"),OR(Datos!A15="Regular",Datos!A15="Aprobada"),Datos!A2="Aprobada",Datos!A3="Aprobada",Datos!A7="Aprobada",Datos!A17="Aprobada"),"✅ Disponible","❌ No Disponible"))))</f>
        <v>❌ No Disponible</v>
      </c>
      <c r="I36" s="182" t="str">
        <f>IF(OR(F36="Aprobada",F36="Regular"),"-",IF(H36="✅ Disponible","Sin faltantes",IF(AND(Datos!A10&lt;&gt;"Regular",Datos!A10&lt;&gt;"Aprobada"),A20&amp;"-"&amp;C20&amp;" (cursar); ","")&amp;IF(AND(Datos!A12&lt;&gt;"Regular",Datos!A12&lt;&gt;"Aprobada"),A22&amp;"-"&amp;C22&amp;" (cursar); ","")&amp;IF(AND(Datos!A14&lt;&gt;"Regular",Datos!A14&lt;&gt;"Aprobada"),A24&amp;"-"&amp;C24&amp;" (cursar); ","")&amp;IF(AND(Datos!A15&lt;&gt;"Regular",Datos!A15&lt;&gt;"Aprobada"),A25&amp;"-"&amp;C25&amp;" (cursar); ","")&amp;IF(Datos!A2&lt;&gt;"Aprobada",A12&amp;"-"&amp;C12&amp;" (aprobar); ","")&amp;IF(Datos!A3&lt;&gt;"Aprobada",A13&amp;"-"&amp;C13&amp;" (aprobar); ","")&amp;IF(Datos!A7&lt;&gt;"Aprobada",A17&amp;"-"&amp;C17&amp;" (aprobar); ","")&amp;IF(Datos!A17&lt;&gt;"Aprobada",A27&amp;"-"&amp;C27&amp;" (aprobar); ","")))</f>
        <v xml:space="preserve">9-Introducción a Equipos y Procesos (cursar); 11-Química Inorgánica (cursar); 13-Física II (cursar); 14-Química Orgánica (cursar); 1-Introducción a la Ingeniería Química (aprobar); 2-Ingeniería y Sociedad (aprobar); 6-Química (aprobar); 40-Inglés I (aprobar); </v>
      </c>
      <c r="J36" s="183">
        <v>2</v>
      </c>
      <c r="K36" s="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26.1" customHeight="1" thickBot="1" x14ac:dyDescent="0.3">
      <c r="A37" s="16">
        <v>41</v>
      </c>
      <c r="B37" s="22" t="s">
        <v>39</v>
      </c>
      <c r="C37" s="18" t="s">
        <v>49</v>
      </c>
      <c r="D37" s="13">
        <v>40</v>
      </c>
      <c r="E37" s="13" t="s">
        <v>6</v>
      </c>
      <c r="F37" s="101" t="s">
        <v>146</v>
      </c>
      <c r="G37" s="203" t="str">
        <f>IF(Finales!E30="","",Finales!E30)</f>
        <v/>
      </c>
      <c r="H37" s="117" t="str">
        <f>IF(F37="Aprobada","✅ Aprobada",IF(F37="Regular","🔄 Regular",IF(F37="Cursando","📖 Cursando",IF(AND(OR(Datos!A17="Regular",Datos!A17="Aprobada")),"✅ Disponible","❌ No Disponible"))))</f>
        <v>❌ No Disponible</v>
      </c>
      <c r="I37" s="19" t="str">
        <f>IF(OR(F37="Aprobada",F37="Regular"),"-",IF(H37="✅ Disponible","Sin faltantes",IF(AND(Datos!A17&lt;&gt;"Regular",Datos!A17&lt;&gt;"Aprobada"),A27&amp;"-"&amp;C27&amp;" (cursar); ","")))</f>
        <v xml:space="preserve">40-Inglés I (cursar); </v>
      </c>
      <c r="J37" s="20">
        <v>2</v>
      </c>
      <c r="K37" s="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26.1" customHeight="1" x14ac:dyDescent="0.25">
      <c r="A38" s="123">
        <v>25</v>
      </c>
      <c r="B38" s="124" t="s">
        <v>50</v>
      </c>
      <c r="C38" s="125" t="s">
        <v>51</v>
      </c>
      <c r="D38" s="126" t="s">
        <v>104</v>
      </c>
      <c r="E38" s="126" t="s">
        <v>105</v>
      </c>
      <c r="F38" s="127" t="s">
        <v>146</v>
      </c>
      <c r="G38" s="208" t="str">
        <f>IF(Finales!E31="","",Finales!E31)</f>
        <v/>
      </c>
      <c r="H38" s="128" t="str">
        <f>IF(F38="Aprobada","✅ Aprobada",IF(F38="Regular","🔄 Regular",IF(F38="Cursando","📖 Cursando",IF(AND(OR(Datos!A18="Regular",Datos!A18="Aprobada"),OR(Datos!A20="Regular",Datos!A20="Aprobada"),Datos!A8="Aprobada",Datos!A9="Aprobada",Datos!A10="Aprobada",Datos!A13="Aprobada",Datos!A27="Aprobada"),"✅ Disponible","❌ No Disponible"))))</f>
        <v>❌ No Disponible</v>
      </c>
      <c r="I38" s="129" t="str">
        <f>IF(OR(F38="Aprobada",F38="Regular"),"-",IF(H38="✅ Disponible","Sin faltantes",IF(AND(Datos!A18&lt;&gt;"Regular",Datos!A18&lt;&gt;"Aprobada"),A28&amp;"-"&amp;C28&amp;" (cursar); ","")&amp;IF(AND(Datos!A20&lt;&gt;"Regular",Datos!A20&lt;&gt;"Aprobada"),A30&amp;"-"&amp;C30&amp;" (cursar); ","")&amp;IF(Datos!A8&lt;&gt;"Aprobada",A18&amp;"-"&amp;C18&amp;" (aprobar); ","")&amp;IF(Datos!A9&lt;&gt;"Aprobada",A19&amp;"-"&amp;C19&amp;" (aprobar); ","")&amp;IF(Datos!A10&lt;&gt;"Aprobada",A20&amp;"-"&amp;C20&amp;" (aprobar); ","")&amp;IF(Datos!A13&lt;&gt;"Aprobada",A23&amp;"-"&amp;C23&amp;" (aprobar); ","")&amp;IF(Datos!A27&lt;&gt;"Aprobada",A37&amp;"-"&amp;C37&amp;" (aprobar); ","")))</f>
        <v xml:space="preserve">16-Balances de Masa y Energía (cursar); 18-Matemática Superior Aplicada (cursar); 7-Sistemas de Representación (aprobar); 8-Fundamentos de Informática (aprobar); 9-Introducción a Equipos y Procesos (aprobar); 12-Análisis Matemático II (aprobar); 41-Inglés II (aprobar); </v>
      </c>
      <c r="J38" s="130">
        <v>4</v>
      </c>
      <c r="K38" s="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26.1" customHeight="1" x14ac:dyDescent="0.25">
      <c r="A39" s="16">
        <v>26</v>
      </c>
      <c r="B39" s="23" t="s">
        <v>50</v>
      </c>
      <c r="C39" s="18" t="s">
        <v>54</v>
      </c>
      <c r="D39" s="13" t="s">
        <v>106</v>
      </c>
      <c r="E39" s="13" t="s">
        <v>97</v>
      </c>
      <c r="F39" s="101" t="s">
        <v>146</v>
      </c>
      <c r="G39" s="203" t="str">
        <f>IF(Finales!E32="","",Finales!E32)</f>
        <v/>
      </c>
      <c r="H39" s="117" t="str">
        <f>IF(F39="Aprobada","✅ Aprobada",IF(F39="Regular","🔄 Regular",IF(F39="Cursando","📖 Cursando",IF(AND(OR(Datos!A18="Regular",Datos!A18="Aprobada"),OR(Datos!A19="Regular",Datos!A19="Aprobada"),OR(Datos!A23="Regular",Datos!A23="Aprobada"),Datos!A10="Aprobada",Datos!A13="Aprobada",Datos!A14="Aprobada"),"✅ Disponible","❌ No Disponible"))))</f>
        <v>❌ No Disponible</v>
      </c>
      <c r="I39" s="19" t="str">
        <f>IF(OR(F39="Aprobada",F39="Regular"),"-",IF(H39="✅ Disponible","Sin faltantes",IF(AND(Datos!A18&lt;&gt;"Regular",Datos!A18&lt;&gt;"Aprobada"),A28&amp;"-"&amp;C28&amp;" (cursar); ","")&amp;IF(AND(Datos!A19&lt;&gt;"Regular",Datos!A19&lt;&gt;"Aprobada"),A29&amp;"-"&amp;C29&amp;" (cursar); ","")&amp;IF(AND(Datos!A23&lt;&gt;"Regular",Datos!A23&lt;&gt;"Aprobada"),A33&amp;"-"&amp;C33&amp;" (cursar); ","")&amp;IF(Datos!A10&lt;&gt;"Aprobada",A20&amp;"-"&amp;C20&amp;" (aprobar); ","")&amp;IF(Datos!A13&lt;&gt;"Aprobada",A23&amp;"-"&amp;C23&amp;" (aprobar); ","")&amp;IF(Datos!A14&lt;&gt;"Aprobada",A24&amp;"-"&amp;C24&amp;" (aprobar); ","")))</f>
        <v xml:space="preserve">16-Balances de Masa y Energía (cursar); 17-Termodinámica (cursar); 21-Fenómenos de Transporte (cursar); 9-Introducción a Equipos y Procesos (aprobar); 12-Análisis Matemático II (aprobar); 13-Física II (aprobar); </v>
      </c>
      <c r="J39" s="20">
        <v>5</v>
      </c>
      <c r="K39" s="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26.1" customHeight="1" x14ac:dyDescent="0.25">
      <c r="A40" s="131">
        <v>27</v>
      </c>
      <c r="B40" s="72" t="s">
        <v>50</v>
      </c>
      <c r="C40" s="73" t="s">
        <v>56</v>
      </c>
      <c r="D40" s="132" t="s">
        <v>107</v>
      </c>
      <c r="E40" s="132" t="s">
        <v>97</v>
      </c>
      <c r="F40" s="133" t="s">
        <v>146</v>
      </c>
      <c r="G40" s="209" t="str">
        <f>IF(Finales!E33="","",Finales!E33)</f>
        <v/>
      </c>
      <c r="H40" s="134" t="str">
        <f>IF(F40="Aprobada","✅ Aprobada",IF(F40="Regular","🔄 Regular",IF(F40="Cursando","📖 Cursando",IF(AND(OR(Datos!A18="Regular",Datos!A18="Aprobada"),OR(Datos!A19="Regular",Datos!A19="Aprobada"),OR(Datos!A22="Regular",Datos!A22="Aprobada"),OR(Datos!A23="Regular",Datos!A23="Aprobada"),Datos!A10="Aprobada",Datos!A13="Aprobada",Datos!A14="Aprobada"),"✅ Disponible","❌ No Disponible"))))</f>
        <v>❌ No Disponible</v>
      </c>
      <c r="I40" s="135" t="str">
        <f>IF(OR(F40="Aprobada",F40="Regular"),"-",IF(H40="✅ Disponible","Sin faltantes",IF(AND(Datos!A18&lt;&gt;"Regular",Datos!A18&lt;&gt;"Aprobada"),A28&amp;"-"&amp;C28&amp;" (cursar); ","")&amp;IF(AND(Datos!A19&lt;&gt;"Regular",Datos!A19&lt;&gt;"Aprobada"),A29&amp;"-"&amp;C29&amp;" (cursar); ","")&amp;IF(AND(Datos!A22&lt;&gt;"Regular",Datos!A22&lt;&gt;"Aprobada"),A32&amp;"-"&amp;C32&amp;" (cursar); ","")&amp;IF(AND(Datos!A23&lt;&gt;"Regular",Datos!A23&lt;&gt;"Aprobada"),A33&amp;"-"&amp;C33&amp;" (cursar); ","")&amp;IF(Datos!A10&lt;&gt;"Aprobada",A20&amp;"-"&amp;C20&amp;" (aprobar); ","")&amp;IF(Datos!A13&lt;&gt;"Aprobada",A23&amp;"-"&amp;C23&amp;" (aprobar); ","")&amp;IF(Datos!A14&lt;&gt;"Aprobada",A24&amp;"-"&amp;C24&amp;" (aprobar); ","")))</f>
        <v xml:space="preserve">16-Balances de Masa y Energía (cursar); 17-Termodinámica (cursar); 20-Fisicoquímica (cursar); 21-Fenómenos de Transporte (cursar); 9-Introducción a Equipos y Procesos (aprobar); 12-Análisis Matemático II (aprobar); 13-Física II (aprobar); </v>
      </c>
      <c r="J40" s="136">
        <v>5</v>
      </c>
      <c r="K40" s="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26.1" customHeight="1" x14ac:dyDescent="0.25">
      <c r="A41" s="16">
        <v>28</v>
      </c>
      <c r="B41" s="23" t="s">
        <v>50</v>
      </c>
      <c r="C41" s="18" t="s">
        <v>58</v>
      </c>
      <c r="D41" s="13">
        <v>9</v>
      </c>
      <c r="E41" s="13" t="s">
        <v>108</v>
      </c>
      <c r="F41" s="101" t="s">
        <v>146</v>
      </c>
      <c r="G41" s="203" t="str">
        <f>IF(Finales!E34="","",Finales!E34)</f>
        <v/>
      </c>
      <c r="H41" s="117" t="str">
        <f>IF(F41="Aprobada","✅ Aprobada",IF(F41="Regular","🔄 Regular",IF(F41="Cursando","📖 Cursando",IF(AND(OR(Datos!A10="Regular",Datos!A10="Aprobada"),Datos!A3="Aprobada",Datos!A4="Aprobada"),"✅ Disponible","❌ No Disponible"))))</f>
        <v>❌ No Disponible</v>
      </c>
      <c r="I41" s="19" t="str">
        <f>IF(OR(F41="Aprobada",F41="Regular"),"-",IF(H41="✅ Disponible","Sin faltantes",IF(AND(Datos!A10&lt;&gt;"Regular",Datos!A10&lt;&gt;"Aprobada"),A20&amp;"-"&amp;C20&amp;" (cursar); ","")&amp;IF(Datos!A3&lt;&gt;"Aprobada",A13&amp;"-"&amp;C13&amp;" (aprobar); ","")&amp;IF(Datos!A4&lt;&gt;"Aprobada",A14&amp;"-"&amp;C14&amp;" (aprobar); ","")))</f>
        <v xml:space="preserve">9-Introducción a Equipos y Procesos (cursar); 2-Ingeniería y Sociedad (aprobar); 3-Álgebra y Geometría Analítica (aprobar); </v>
      </c>
      <c r="J41" s="20">
        <v>3</v>
      </c>
      <c r="K41" s="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26.1" customHeight="1" x14ac:dyDescent="0.25">
      <c r="A42" s="131">
        <v>29</v>
      </c>
      <c r="B42" s="72" t="s">
        <v>50</v>
      </c>
      <c r="C42" s="73" t="s">
        <v>60</v>
      </c>
      <c r="D42" s="132" t="s">
        <v>109</v>
      </c>
      <c r="E42" s="132" t="s">
        <v>110</v>
      </c>
      <c r="F42" s="133" t="s">
        <v>146</v>
      </c>
      <c r="G42" s="209" t="str">
        <f>IF(Finales!E35="","",Finales!E35)</f>
        <v/>
      </c>
      <c r="H42" s="134" t="str">
        <f>IF(F42="Aprobada","✅ Aprobada",IF(F42="Regular","🔄 Regular",IF(F42="Cursando","📖 Cursando",IF(AND(OR(Datos!A19="Regular",Datos!A19="Aprobada"),OR(Datos!A22="Regular",Datos!A22="Aprobada"),OR(Datos!A23="Regular",Datos!A23="Aprobada"),Datos!A10="Aprobada",Datos!A13="Aprobada",Datos!A14="Aprobada",Datos!A15="Aprobada"),"✅ Disponible","❌ No Disponible"))))</f>
        <v>❌ No Disponible</v>
      </c>
      <c r="I42" s="135" t="str">
        <f>IF(OR(F42="Aprobada",F42="Regular"),"-",IF(H42="✅ Disponible","Sin faltantes",IF(AND(Datos!A19&lt;&gt;"Regular",Datos!A19&lt;&gt;"Aprobada"),A29&amp;"-"&amp;C29&amp;" (cursar); ","")&amp;IF(AND(Datos!A22&lt;&gt;"Regular",Datos!A22&lt;&gt;"Aprobada"),A32&amp;"-"&amp;C32&amp;" (cursar); ","")&amp;IF(AND(Datos!A23&lt;&gt;"Regular",Datos!A23&lt;&gt;"Aprobada"),A33&amp;"-"&amp;C33&amp;" (cursar); ","")&amp;IF(Datos!A10&lt;&gt;"Aprobada",A20&amp;"-"&amp;C20&amp;" (aprobar); ","")&amp;IF(Datos!A13&lt;&gt;"Aprobada",A23&amp;"-"&amp;C23&amp;" (aprobar); ","")&amp;IF(Datos!A14&lt;&gt;"Aprobada",A24&amp;"-"&amp;C24&amp;" (aprobar); ","")&amp;IF(Datos!A15&lt;&gt;"Aprobada",A25&amp;"-"&amp;C25&amp;" (aprobar); ","")))</f>
        <v xml:space="preserve">17-Termodinámica (cursar); 20-Fisicoquímica (cursar); 21-Fenómenos de Transporte (cursar); 9-Introducción a Equipos y Procesos (aprobar); 12-Análisis Matemático II (aprobar); 13-Física II (aprobar); 14-Química Orgánica (aprobar); </v>
      </c>
      <c r="J42" s="136">
        <v>5</v>
      </c>
      <c r="K42" s="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26.1" customHeight="1" x14ac:dyDescent="0.25">
      <c r="A43" s="16">
        <v>30</v>
      </c>
      <c r="B43" s="23" t="s">
        <v>50</v>
      </c>
      <c r="C43" s="18" t="s">
        <v>63</v>
      </c>
      <c r="D43" s="13" t="s">
        <v>107</v>
      </c>
      <c r="E43" s="13" t="s">
        <v>111</v>
      </c>
      <c r="F43" s="101" t="s">
        <v>146</v>
      </c>
      <c r="G43" s="203" t="str">
        <f>IF(Finales!E36="","",Finales!E36)</f>
        <v/>
      </c>
      <c r="H43" s="117" t="str">
        <f>IF(F43="Aprobada","✅ Aprobada",IF(F43="Regular","🔄 Regular",IF(F43="Cursando","📖 Cursando",IF(AND(OR(Datos!A18="Regular",Datos!A18="Aprobada"),OR(Datos!A19="Regular",Datos!A19="Aprobada"),OR(Datos!A22="Regular",Datos!A22="Aprobada"),OR(Datos!A23="Regular",Datos!A23="Aprobada"),Datos!A12="Aprobada",Datos!A13="Aprobada",Datos!A15="Aprobada"),"✅ Disponible","❌ No Disponible"))))</f>
        <v>❌ No Disponible</v>
      </c>
      <c r="I43" s="19" t="str">
        <f>IF(OR(F43="Aprobada",F43="Regular"),"-",IF(H43="✅ Disponible","Sin faltantes",IF(AND(Datos!A18&lt;&gt;"Regular",Datos!A18&lt;&gt;"Aprobada"),A28&amp;"-"&amp;C28&amp;" (cursar); ","")&amp;IF(AND(Datos!A19&lt;&gt;"Regular",Datos!A19&lt;&gt;"Aprobada"),A29&amp;"-"&amp;C29&amp;" (cursar); ","")&amp;IF(AND(Datos!A22&lt;&gt;"Regular",Datos!A22&lt;&gt;"Aprobada"),A32&amp;"-"&amp;C32&amp;" (cursar); ","")&amp;IF(AND(Datos!A23&lt;&gt;"Regular",Datos!A23&lt;&gt;"Aprobada"),A33&amp;"-"&amp;C33&amp;" (cursar); ","")&amp;IF(Datos!A12&lt;&gt;"Aprobada",A22&amp;"-"&amp;C22&amp;" (aprobar); ","")&amp;IF(Datos!A13&lt;&gt;"Aprobada",A23&amp;"-"&amp;C23&amp;" (aprobar); ","")&amp;IF(Datos!A15&lt;&gt;"Aprobada",A25&amp;"-"&amp;C25&amp;" (aprobar); ","")))</f>
        <v xml:space="preserve">16-Balances de Masa y Energía (cursar); 17-Termodinámica (cursar); 20-Fisicoquímica (cursar); 21-Fenómenos de Transporte (cursar); 11-Química Inorgánica (aprobar); 12-Análisis Matemático II (aprobar); 14-Química Orgánica (aprobar); </v>
      </c>
      <c r="J43" s="20">
        <v>5</v>
      </c>
      <c r="K43" s="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26.1" customHeight="1" x14ac:dyDescent="0.25">
      <c r="A44" s="131">
        <v>31</v>
      </c>
      <c r="B44" s="72" t="s">
        <v>50</v>
      </c>
      <c r="C44" s="73" t="s">
        <v>65</v>
      </c>
      <c r="D44" s="132">
        <v>10</v>
      </c>
      <c r="E44" s="132">
        <v>4</v>
      </c>
      <c r="F44" s="133" t="s">
        <v>146</v>
      </c>
      <c r="G44" s="209" t="str">
        <f>IF(Finales!E37="","",Finales!E37)</f>
        <v/>
      </c>
      <c r="H44" s="134" t="str">
        <f>IF(F44="Aprobada","✅ Aprobada",IF(F44="Regular","🔄 Regular",IF(F44="Cursando","📖 Cursando",IF(AND(OR(Datos!A11="Regular",Datos!A11="Aprobada"),Datos!A5="Aprobada"),"✅ Disponible","❌ No Disponible"))))</f>
        <v>❌ No Disponible</v>
      </c>
      <c r="I44" s="135" t="str">
        <f>IF(OR(F44="Aprobada",F44="Regular"),"-",IF(H44="✅ Disponible","Sin faltantes",IF(AND(Datos!A11&lt;&gt;"Regular",Datos!A11&lt;&gt;"Aprobada"),A21&amp;"-"&amp;C21&amp;" (cursar); ","")&amp;IF(Datos!A5&lt;&gt;"Aprobada",A15&amp;"-"&amp;C15&amp;" (aprobar); ","")))</f>
        <v xml:space="preserve">10-Probabilidad y Estadística (cursar); 4-Análisis Matemático I (aprobar); </v>
      </c>
      <c r="J44" s="136">
        <v>3</v>
      </c>
      <c r="K44" s="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26.1" customHeight="1" thickBot="1" x14ac:dyDescent="0.3">
      <c r="A45" s="16">
        <v>32</v>
      </c>
      <c r="B45" s="23" t="s">
        <v>50</v>
      </c>
      <c r="C45" s="18" t="s">
        <v>66</v>
      </c>
      <c r="D45" s="13">
        <v>10</v>
      </c>
      <c r="E45" s="13" t="s">
        <v>112</v>
      </c>
      <c r="F45" s="101" t="s">
        <v>146</v>
      </c>
      <c r="G45" s="203" t="str">
        <f>IF(Finales!E38="","",Finales!E38)</f>
        <v/>
      </c>
      <c r="H45" s="117" t="str">
        <f>IF(F45="Aprobada","✅ Aprobada",IF(F45="Regular","🔄 Regular",IF(F45="Cursando","📖 Cursando",IF(AND(OR(Datos!A11="Regular",Datos!A11="Aprobada"),Datos!A3="Aprobada",Datos!A10="Aprobada",Datos!A16="Aprobada"),"✅ Disponible","❌ No Disponible"))))</f>
        <v>❌ No Disponible</v>
      </c>
      <c r="I45" s="19" t="str">
        <f>IF(OR(F45="Aprobada",F45="Regular"),"-",IF(H45="✅ Disponible","Sin faltantes",IF(AND(Datos!A11&lt;&gt;"Regular",Datos!A11&lt;&gt;"Aprobada"),A21&amp;"-"&amp;C21&amp;" (cursar); ","")&amp;IF(Datos!A3&lt;&gt;"Aprobada",A13&amp;"-"&amp;C13&amp;" (aprobar); ","")&amp;IF(Datos!A10&lt;&gt;"Aprobada",A20&amp;"-"&amp;C20&amp;" (aprobar); ","")&amp;IF(Datos!A16&lt;&gt;"Aprobada",A26&amp;"-"&amp;C26&amp;" (aprobar); ","")))</f>
        <v xml:space="preserve">10-Probabilidad y Estadística (cursar); 2-Ingeniería y Sociedad (aprobar); 9-Introducción a Equipos y Procesos (aprobar); 15-Legislación (aprobar); </v>
      </c>
      <c r="J45" s="20">
        <v>3</v>
      </c>
      <c r="K45" s="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26.1" customHeight="1" x14ac:dyDescent="0.25">
      <c r="A46" s="137">
        <v>33</v>
      </c>
      <c r="B46" s="138" t="s">
        <v>68</v>
      </c>
      <c r="C46" s="139" t="s">
        <v>69</v>
      </c>
      <c r="D46" s="140" t="s">
        <v>113</v>
      </c>
      <c r="E46" s="140" t="s">
        <v>114</v>
      </c>
      <c r="F46" s="36" t="s">
        <v>146</v>
      </c>
      <c r="G46" s="210" t="str">
        <f>IF(Finales!E39="","",Finales!E39)</f>
        <v/>
      </c>
      <c r="H46" s="141" t="str">
        <f>IF(F46="Aprobada","✅ Aprobada",IF(F46="Regular","🔄 Regular",IF(F46="Cursando","📖 Cursando",IF(AND(OR(Datos!A28="Regular",Datos!A28="Aprobada"),OR(Datos!A32="Regular",Datos!A32="Aprobada"),Datos!A18="Aprobada",Datos!A20="Aprobada",Datos!A24="Aprobada"),"✅ Disponible","❌ No Disponible"))))</f>
        <v>❌ No Disponible</v>
      </c>
      <c r="I46" s="142" t="str">
        <f>IF(OR(F46="Aprobada",F46="Regular"),"-",IF(H46="✅ Disponible","Sin faltantes",IF(AND(Datos!A28&lt;&gt;"Regular",Datos!A28&lt;&gt;"Aprobada"),A38&amp;"-"&amp;C38&amp;" (cursar); ","")&amp;IF(AND(Datos!A32&lt;&gt;"Regular",Datos!A32&lt;&gt;"Aprobada"),A42&amp;"-"&amp;C42&amp;" (cursar); ","")&amp;IF(Datos!A18&lt;&gt;"Aprobada",A28&amp;"-"&amp;C28&amp;" (aprobar); ","")&amp;IF(Datos!A20&lt;&gt;"Aprobada",A30&amp;"-"&amp;C30&amp;" (aprobar); ","")&amp;IF(Datos!A24&lt;&gt;"Aprobada",A34&amp;"-"&amp;C34&amp;" (aprobar); ","")))</f>
        <v xml:space="preserve">25-Diseño, simulación, optimización y seguridad (cursar); 29-Operaciones Unitarias II (cursar); 16-Balances de Masa y Energía (aprobar); 18-Matemática Superior Aplicada (aprobar); 22-Química Analítica (aprobar); </v>
      </c>
      <c r="J46" s="143">
        <v>4</v>
      </c>
      <c r="K46" s="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26.1" customHeight="1" x14ac:dyDescent="0.25">
      <c r="A47" s="16">
        <v>34</v>
      </c>
      <c r="B47" s="24" t="s">
        <v>68</v>
      </c>
      <c r="C47" s="18" t="s">
        <v>72</v>
      </c>
      <c r="D47" s="13" t="s">
        <v>115</v>
      </c>
      <c r="E47" s="13" t="s">
        <v>116</v>
      </c>
      <c r="F47" s="101" t="s">
        <v>146</v>
      </c>
      <c r="G47" s="203" t="str">
        <f>IF(Finales!E40="","",Finales!E40)</f>
        <v/>
      </c>
      <c r="H47" s="117" t="str">
        <f>IF(F47="Aprobada","✅ Aprobada",IF(F47="Regular","🔄 Regular",IF(F47="Cursando","📖 Cursando",IF(AND(OR(Datos!A10="Regular",Datos!A10="Aprobada"),OR(Datos!A22="Regular",Datos!A22="Aprobada"),Datos!A6="Aprobada",Datos!A12="Aprobada",Datos!A21="Aprobada"),"✅ Disponible","❌ No Disponible"))))</f>
        <v>❌ No Disponible</v>
      </c>
      <c r="I47" s="19" t="str">
        <f>IF(OR(F47="Aprobada",F47="Regular"),"-",IF(H47="✅ Disponible","Sin faltantes",IF(AND(Datos!A10&lt;&gt;"Regular",Datos!A10&lt;&gt;"Aprobada"),A20&amp;"-"&amp;C20&amp;" (cursar); ","")&amp;IF(AND(Datos!A22&lt;&gt;"Regular",Datos!A22&lt;&gt;"Aprobada"),A32&amp;"-"&amp;C32&amp;" (cursar); ","")&amp;IF(Datos!A6&lt;&gt;"Aprobada",A16&amp;"-"&amp;C16&amp;" (aprobar); ","")&amp;IF(Datos!A12&lt;&gt;"Aprobada",A22&amp;"-"&amp;C22&amp;" (aprobar); ","")&amp;IF(Datos!A21&lt;&gt;"Aprobada",A31&amp;"-"&amp;C31&amp;" (aprobar); ","")))</f>
        <v xml:space="preserve">9-Introducción a Equipos y Procesos (cursar); 20-Fisicoquímica (cursar); 5-Física I (aprobar); 11-Química Inorgánica (aprobar); 19-Ciencia de los Materiales (aprobar); </v>
      </c>
      <c r="J47" s="20">
        <v>3</v>
      </c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26.1" customHeight="1" x14ac:dyDescent="0.25">
      <c r="A48" s="144">
        <v>35</v>
      </c>
      <c r="B48" s="75" t="s">
        <v>68</v>
      </c>
      <c r="C48" s="76" t="s">
        <v>75</v>
      </c>
      <c r="D48" s="145" t="s">
        <v>117</v>
      </c>
      <c r="E48" s="145" t="s">
        <v>118</v>
      </c>
      <c r="F48" s="35" t="s">
        <v>146</v>
      </c>
      <c r="G48" s="211" t="str">
        <f>IF(Finales!E41="","",Finales!E41)</f>
        <v/>
      </c>
      <c r="H48" s="146" t="str">
        <f>IF(F48="Aprobada","✅ Aprobada",IF(F48="Regular","🔄 Regular",IF(F48="Cursando","📖 Cursando",IF(AND(OR(Datos!A26="Regular",Datos!A26="Aprobada"),OR(Datos!A29="Regular",Datos!A29="Aprobada"),OR(Datos!A32="Regular",Datos!A32="Aprobada"),OR(Datos!A33="Regular",Datos!A33="Aprobada"),Datos!A16="Aprobada",Datos!A18="Aprobada",Datos!A24="Aprobada"),"✅ Disponible","❌ No Disponible"))))</f>
        <v>❌ No Disponible</v>
      </c>
      <c r="I48" s="147" t="str">
        <f>IF(OR(F48="Aprobada",F48="Regular"),"-",IF(H48="✅ Disponible","Sin faltantes",IF(AND(Datos!A26&lt;&gt;"Regular",Datos!A26&lt;&gt;"Aprobada"),A36&amp;"-"&amp;C36&amp;" (cursar); ","")&amp;IF(AND(Datos!A29&lt;&gt;"Regular",Datos!A29&lt;&gt;"Aprobada"),A39&amp;"-"&amp;C39&amp;" (cursar); ","")&amp;IF(AND(Datos!A32&lt;&gt;"Regular",Datos!A32&lt;&gt;"Aprobada"),A42&amp;"-"&amp;C42&amp;" (cursar); ","")&amp;IF(AND(Datos!A33&lt;&gt;"Regular",Datos!A33&lt;&gt;"Aprobada"),A43&amp;"-"&amp;C43&amp;" (cursar); ","")&amp;IF(Datos!A16&lt;&gt;"Aprobada",A26&amp;"-"&amp;C26&amp;" (aprobar); ","")&amp;IF(Datos!A18&lt;&gt;"Aprobada",A28&amp;"-"&amp;C28&amp;" (aprobar); ","")&amp;IF(Datos!A24&lt;&gt;"Aprobada",A34&amp;"-"&amp;C34&amp;" (aprobar); ","")))</f>
        <v xml:space="preserve">24-Química Aplicada (cursar); 26-Operaciones Unitarias I (cursar); 29-Operaciones Unitarias II (cursar); 30-Ingeniería de las Reacciones Químicas (cursar); 15-Legislación (aprobar); 16-Balances de Masa y Energía (aprobar); 22-Química Analítica (aprobar); </v>
      </c>
      <c r="J48" s="148">
        <v>3</v>
      </c>
      <c r="K48" s="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26.1" customHeight="1" x14ac:dyDescent="0.25">
      <c r="A49" s="16">
        <v>36</v>
      </c>
      <c r="B49" s="24" t="s">
        <v>68</v>
      </c>
      <c r="C49" s="18" t="s">
        <v>78</v>
      </c>
      <c r="D49" s="13" t="s">
        <v>119</v>
      </c>
      <c r="E49" s="13" t="s">
        <v>96</v>
      </c>
      <c r="F49" s="101" t="s">
        <v>146</v>
      </c>
      <c r="G49" s="203" t="str">
        <f>IF(Finales!E42="","",Finales!E42)</f>
        <v/>
      </c>
      <c r="H49" s="117" t="str">
        <f>IF(F49="Aprobada","✅ Aprobada",IF(F49="Regular","🔄 Regular",IF(F49="Cursando","📖 Cursando",IF(AND(OR(Datos!A18="Regular",Datos!A18="Aprobada"),OR(Datos!A22="Regular",Datos!A22="Aprobada"),OR(Datos!A23="Regular",Datos!A23="Aprobada"),OR(Datos!A25="Regular",Datos!A25="Aprobada"),Datos!A10="Aprobada",Datos!A12="Aprobada",Datos!A15="Aprobada"),"✅ Disponible","❌ No Disponible"))))</f>
        <v>❌ No Disponible</v>
      </c>
      <c r="I49" s="19" t="str">
        <f>IF(OR(F49="Aprobada",F49="Regular"),"-",IF(H49="✅ Disponible","Sin faltantes",IF(AND(Datos!A18&lt;&gt;"Regular",Datos!A18&lt;&gt;"Aprobada"),A28&amp;"-"&amp;C28&amp;" (cursar); ","")&amp;IF(AND(Datos!A22&lt;&gt;"Regular",Datos!A22&lt;&gt;"Aprobada"),A32&amp;"-"&amp;C32&amp;" (cursar); ","")&amp;IF(AND(Datos!A23&lt;&gt;"Regular",Datos!A23&lt;&gt;"Aprobada"),A33&amp;"-"&amp;C33&amp;" (cursar); ","")&amp;IF(AND(Datos!A25&lt;&gt;"Regular",Datos!A25&lt;&gt;"Aprobada"),A35&amp;"-"&amp;C35&amp;" (cursar); ","")&amp;IF(Datos!A10&lt;&gt;"Aprobada",A20&amp;"-"&amp;C20&amp;" (aprobar); ","")&amp;IF(Datos!A12&lt;&gt;"Aprobada",A22&amp;"-"&amp;C22&amp;" (aprobar); ","")&amp;IF(Datos!A15&lt;&gt;"Aprobada",A25&amp;"-"&amp;C25&amp;" (aprobar); ","")))</f>
        <v xml:space="preserve">16-Balances de Masa y Energía (cursar); 20-Fisicoquímica (cursar); 21-Fenómenos de Transporte (cursar); 23-Microbiología y Química Biológica (cursar); 9-Introducción a Equipos y Procesos (aprobar); 11-Química Inorgánica (aprobar); 14-Química Orgánica (aprobar); </v>
      </c>
      <c r="J49" s="20">
        <v>3</v>
      </c>
      <c r="K49" s="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26.1" customHeight="1" x14ac:dyDescent="0.25">
      <c r="A50" s="144">
        <v>37</v>
      </c>
      <c r="B50" s="75" t="s">
        <v>68</v>
      </c>
      <c r="C50" s="76" t="s">
        <v>80</v>
      </c>
      <c r="D50" s="145" t="s">
        <v>120</v>
      </c>
      <c r="E50" s="145">
        <v>9</v>
      </c>
      <c r="F50" s="35" t="s">
        <v>146</v>
      </c>
      <c r="G50" s="211" t="str">
        <f>IF(Finales!E43="","",Finales!E43)</f>
        <v/>
      </c>
      <c r="H50" s="146" t="str">
        <f>IF(F50="Aprobada","✅ Aprobada",IF(F50="Regular","🔄 Regular",IF(F50="Cursando","📖 Cursando",IF(AND(OR(Datos!A12="Regular",Datos!A12="Aprobada"),OR(Datos!A15="Regular",Datos!A15="Aprobada"),OR(Datos!A18="Regular",Datos!A18="Aprobada"),Datos!A10="Aprobada"),"✅ Disponible","❌ No Disponible"))))</f>
        <v>❌ No Disponible</v>
      </c>
      <c r="I50" s="147" t="str">
        <f>IF(OR(F50="Aprobada",F50="Regular"),"-",IF(H50="✅ Disponible","Sin faltantes",IF(AND(Datos!A12&lt;&gt;"Regular",Datos!A12&lt;&gt;"Aprobada"),A22&amp;"-"&amp;C22&amp;" (cursar); ","")&amp;IF(AND(Datos!A15&lt;&gt;"Regular",Datos!A15&lt;&gt;"Aprobada"),A25&amp;"-"&amp;C25&amp;" (cursar); ","")&amp;IF(AND(Datos!A18&lt;&gt;"Regular",Datos!A18&lt;&gt;"Aprobada"),A28&amp;"-"&amp;C28&amp;" (cursar); ","")&amp;IF(Datos!A10&lt;&gt;"Aprobada",A20&amp;"-"&amp;C20&amp;" (aprobar); ","")))</f>
        <v xml:space="preserve">11-Química Inorgánica (cursar); 14-Química Orgánica (cursar); 16-Balances de Masa y Energía (cursar); 9-Introducción a Equipos y Procesos (aprobar); </v>
      </c>
      <c r="J50" s="148">
        <v>2</v>
      </c>
      <c r="K50" s="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26.1" customHeight="1" x14ac:dyDescent="0.25">
      <c r="A51" s="16">
        <v>38</v>
      </c>
      <c r="B51" s="24" t="s">
        <v>68</v>
      </c>
      <c r="C51" s="18" t="s">
        <v>82</v>
      </c>
      <c r="D51" s="13">
        <v>26</v>
      </c>
      <c r="E51" s="13" t="s">
        <v>121</v>
      </c>
      <c r="F51" s="101" t="s">
        <v>146</v>
      </c>
      <c r="G51" s="203" t="str">
        <f>IF(Finales!E44="","",Finales!E44)</f>
        <v/>
      </c>
      <c r="H51" s="117" t="str">
        <f>IF(F51="Aprobada","✅ Aprobada",IF(F51="Regular","🔄 Regular",IF(F51="Cursando","📖 Cursando",IF(AND(OR(Datos!A29="Regular",Datos!A29="Aprobada"),Datos!A10="Aprobada",Datos!A14="Aprobada"),"✅ Disponible","❌ No Disponible"))))</f>
        <v>❌ No Disponible</v>
      </c>
      <c r="I51" s="19" t="str">
        <f>IF(OR(F51="Aprobada",F51="Regular"),"-",IF(H51="✅ Disponible","Sin faltantes",IF(AND(Datos!A29&lt;&gt;"Regular",Datos!A29&lt;&gt;"Aprobada"),A39&amp;"-"&amp;C39&amp;" (cursar); ","")&amp;IF(Datos!A10&lt;&gt;"Aprobada",A20&amp;"-"&amp;C20&amp;" (aprobar); ","")&amp;IF(Datos!A14&lt;&gt;"Aprobada",A24&amp;"-"&amp;C24&amp;" (aprobar); ","")))</f>
        <v xml:space="preserve">26-Operaciones Unitarias I (cursar); 9-Introducción a Equipos y Procesos (aprobar); 13-Física II (aprobar); </v>
      </c>
      <c r="J51" s="20">
        <v>2</v>
      </c>
      <c r="K51" s="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26.1" customHeight="1" thickBot="1" x14ac:dyDescent="0.3">
      <c r="A52" s="144">
        <v>39</v>
      </c>
      <c r="B52" s="75" t="s">
        <v>68</v>
      </c>
      <c r="C52" s="76" t="s">
        <v>84</v>
      </c>
      <c r="D52" s="145" t="s">
        <v>122</v>
      </c>
      <c r="E52" s="145" t="s">
        <v>123</v>
      </c>
      <c r="F52" s="35" t="s">
        <v>146</v>
      </c>
      <c r="G52" s="211" t="str">
        <f>IF(Finales!E45="","",Finales!E45)</f>
        <v/>
      </c>
      <c r="H52" s="146" t="str">
        <f>IF(F52="Aprobada","✅ Aprobada",IF(F52="Regular","🔄 Regular",IF(F52="Cursando","📖 Cursando",IF(AND(OR(Datos!A28="Regular",Datos!A28="Aprobada"),OR(Datos!A29="Regular",Datos!A29="Aprobada"),OR(Datos!A30="Regular",Datos!A30="Aprobada"),OR(Datos!A32="Regular",Datos!A32="Aprobada"),OR(Datos!A33="Regular",Datos!A33="Aprobada"),OR(Datos!A35="Regular",Datos!A35="Aprobada"),Datos!A18="Aprobada",Datos!A22="Aprobada",Datos!A23="Aprobada",Datos!A26="Aprobada",Datos!A31="Aprobada"),"✅ Disponible","❌ No Disponible"))))</f>
        <v>❌ No Disponible</v>
      </c>
      <c r="I52" s="147" t="str">
        <f>IF(OR(F52="Aprobada",F52="Regular"),"-",IF(H52="✅ Disponible","Sin faltantes",IF(AND(Datos!A28&lt;&gt;"Regular",Datos!A28&lt;&gt;"Aprobada"),A38&amp;"-"&amp;C38&amp;" (cursar); ","")&amp;IF(AND(Datos!A29&lt;&gt;"Regular",Datos!A29&lt;&gt;"Aprobada"),A39&amp;"-"&amp;C39&amp;" (cursar); ","")&amp;IF(AND(Datos!A30&lt;&gt;"Regular",Datos!A30&lt;&gt;"Aprobada"),A40&amp;"-"&amp;C40&amp;" (cursar); ","")&amp;IF(AND(Datos!A32&lt;&gt;"Regular",Datos!A32&lt;&gt;"Aprobada"),A42&amp;"-"&amp;C42&amp;" (cursar); ","")&amp;IF(AND(Datos!A33&lt;&gt;"Regular",Datos!A33&lt;&gt;"Aprobada"),A43&amp;"-"&amp;C43&amp;" (cursar); ","")&amp;IF(AND(Datos!A35&lt;&gt;"Regular",Datos!A35&lt;&gt;"Aprobada"),A45&amp;"-"&amp;C45&amp;" (cursar); ","")&amp;IF(Datos!A18&lt;&gt;"Aprobada",A28&amp;"-"&amp;C28&amp;" (aprobar); ","")&amp;IF(Datos!A22&lt;&gt;"Aprobada",A32&amp;"-"&amp;C32&amp;" (aprobar); ","")&amp;IF(Datos!A23&lt;&gt;"Aprobada",A33&amp;"-"&amp;C33&amp;" (aprobar); ","")&amp;IF(Datos!A26&lt;&gt;"Aprobada",A36&amp;"-"&amp;C36&amp;" (aprobar); ","")&amp;IF(Datos!A31&lt;&gt;"Aprobada",A41&amp;"-"&amp;C41&amp;" (aprobar); ","")))</f>
        <v xml:space="preserve">25-Diseño, simulación, optimización y seguridad (cursar); 26-Operaciones Unitarias I (cursar); 27-Tecnología de la Energía Térmica (cursar); 29-Operaciones Unitarias II (cursar); 30-Ingeniería de las Reacciones Químicas (cursar); 32-Organización Industrial (cursar); 16-Balances de Masa y Energía (aprobar); 20-Fisicoquímica (aprobar); 21-Fenómenos de Transporte (aprobar); 24-Química Aplicada (aprobar); 28-Economía (aprobar); </v>
      </c>
      <c r="J52" s="148">
        <v>4</v>
      </c>
      <c r="K52" s="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26.1" customHeight="1" x14ac:dyDescent="0.25">
      <c r="A53" s="149">
        <v>42</v>
      </c>
      <c r="B53" s="150" t="s">
        <v>152</v>
      </c>
      <c r="C53" s="151" t="s">
        <v>153</v>
      </c>
      <c r="D53" s="152" t="s">
        <v>6</v>
      </c>
      <c r="E53" s="152" t="s">
        <v>6</v>
      </c>
      <c r="F53" s="153" t="s">
        <v>146</v>
      </c>
      <c r="G53" s="212" t="str">
        <f>IF(Finales!E46="","",Finales!E46)</f>
        <v/>
      </c>
      <c r="H53" s="215" t="str">
        <f t="shared" ref="H53:H54" si="2">IF(F53="Aprobada","✅ Aprobada",IF(F53="Regular","🔄 Regular",IF(F53="Cursando","📖 Cursando","✅ Disponible")))</f>
        <v>✅ Disponible</v>
      </c>
      <c r="I53" s="154" t="str">
        <f>IF(OR(F53="Aprobada",F53="Regular"),"-","Sin correlativas")</f>
        <v>Sin correlativas</v>
      </c>
      <c r="J53" s="155">
        <v>6</v>
      </c>
      <c r="K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26.1" customHeight="1" x14ac:dyDescent="0.25">
      <c r="A54" s="156">
        <v>43</v>
      </c>
      <c r="B54" s="85" t="s">
        <v>152</v>
      </c>
      <c r="C54" s="86" t="s">
        <v>154</v>
      </c>
      <c r="D54" s="157" t="s">
        <v>6</v>
      </c>
      <c r="E54" s="157" t="s">
        <v>6</v>
      </c>
      <c r="F54" s="158" t="s">
        <v>146</v>
      </c>
      <c r="G54" s="213" t="str">
        <f>IF(Finales!E47="","",Finales!E47)</f>
        <v/>
      </c>
      <c r="H54" s="216" t="str">
        <f t="shared" si="2"/>
        <v>✅ Disponible</v>
      </c>
      <c r="I54" s="159" t="str">
        <f>IF(OR(F54="Aprobada",F54="Regular"),"-","Sin correlativas")</f>
        <v>Sin correlativas</v>
      </c>
      <c r="J54" s="160">
        <v>5</v>
      </c>
      <c r="K54" s="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26.1" customHeight="1" x14ac:dyDescent="0.25">
      <c r="A55" s="161">
        <v>44</v>
      </c>
      <c r="B55" s="88" t="s">
        <v>152</v>
      </c>
      <c r="C55" s="89" t="s">
        <v>155</v>
      </c>
      <c r="D55" s="162" t="s">
        <v>183</v>
      </c>
      <c r="E55" s="162" t="s">
        <v>175</v>
      </c>
      <c r="F55" s="101" t="s">
        <v>146</v>
      </c>
      <c r="G55" s="203" t="str">
        <f>IF(Finales!E48="","",Finales!E48)</f>
        <v/>
      </c>
      <c r="H55" s="216" t="str">
        <f>IF(F55="Aprobada","✅ Aprobada",IF(F55="Regular","🔄 Regular",IF(F55="Cursando","📖 Cursando",IF(AND(OR(Datos!A28="Regular",Datos!A28="Aprobada"),OR(Datos!A29="Regular",Datos!A29="Aprobada"),OR(Datos!A30="Regular",Datos!A30="Aprobada"),OR(Datos!A31="Regular",Datos!A31="Aprobada"),OR(Datos!A32="Regular",Datos!A32="Aprobada"),OR(Datos!A33="Regular",Datos!A33="Aprobada"),OR(Datos!A34="Regular",Datos!A34="Aprobada"),OR(Datos!A35="Regular",Datos!A35="Aprobada"),Datos!A31="Aprobada",Datos!A35="Aprobada"),"✅ Disponible","❌ No Disponible"))))</f>
        <v>❌ No Disponible</v>
      </c>
      <c r="I55" s="163" t="str">
        <f>IF(OR(F55="Aprobada",F55="Regular"),"-",IF(H55="✅ Disponible","Sin faltantes",IF(AND(Datos!A28&lt;&gt;"Regular",Datos!A28&lt;&gt;"Aprobada"),A38&amp;"-"&amp;C38&amp;" (cursar); ","")&amp;IF(AND(Datos!A29&lt;&gt;"Regular",Datos!A29&lt;&gt;"Aprobada"),A39&amp;"-"&amp;C39&amp;" (cursar); ","")&amp;IF(AND(Datos!A30&lt;&gt;"Regular",Datos!A30&lt;&gt;"Aprobada"),A40&amp;"-"&amp;C40&amp;" (cursar); ","")&amp;IF(AND(Datos!A31&lt;&gt;"Regular",Datos!A31&lt;&gt;"Aprobada"),A41&amp;"-"&amp;C41&amp;" (cursar); ","")&amp;IF(AND(Datos!A32&lt;&gt;"Regular",Datos!A32&lt;&gt;"Aprobada"),A42&amp;"-"&amp;C42&amp;" (cursar); ","")&amp;IF(AND(Datos!A33&lt;&gt;"Regular",Datos!A33&lt;&gt;"Aprobada"),A43&amp;"-"&amp;C43&amp;" (cursar); ","")&amp;IF(AND(Datos!A34&lt;&gt;"Regular",Datos!A34&lt;&gt;"Aprobada"),A44&amp;"-"&amp;C44&amp;" (cursar); ","")&amp;IF(AND(Datos!A35&lt;&gt;"Regular",Datos!A35&lt;&gt;"Aprobada"),A45&amp;"-"&amp;C45&amp;" (cursar); ","")&amp;IF(Datos!A31&lt;&gt;"Aprobada",A41&amp;"-"&amp;C41&amp;" (aprobar); ","")&amp;IF(Datos!A35&lt;&gt;"Aprobada",A45&amp;"-"&amp;C45&amp;" (aprobar); ","")))</f>
        <v xml:space="preserve">25-Diseño, simulación, optimización y seguridad (cursar); 26-Operaciones Unitarias I (cursar); 27-Tecnología de la Energía Térmica (cursar); 28-Economía (cursar); 29-Operaciones Unitarias II (cursar); 30-Ingeniería de las Reacciones Químicas (cursar); 31-Calidad y Control Estadístico de Procesos (cursar); 32-Organización Industrial (cursar); 28-Economía (aprobar); 32-Organización Industrial (aprobar); </v>
      </c>
      <c r="J55" s="164">
        <v>8</v>
      </c>
      <c r="K55" s="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26.1" customHeight="1" x14ac:dyDescent="0.25">
      <c r="A56" s="156">
        <v>45</v>
      </c>
      <c r="B56" s="85" t="s">
        <v>152</v>
      </c>
      <c r="C56" s="86" t="s">
        <v>156</v>
      </c>
      <c r="D56" s="157">
        <v>25</v>
      </c>
      <c r="E56" s="157" t="s">
        <v>175</v>
      </c>
      <c r="F56" s="158" t="s">
        <v>146</v>
      </c>
      <c r="G56" s="213" t="str">
        <f>IF(Finales!E49="","",Finales!E49)</f>
        <v/>
      </c>
      <c r="H56" s="216" t="str">
        <f>IF(F56="Aprobada","✅ Aprobada",IF(F56="Regular","🔄 Regular",IF(F56="Cursando","📖 Cursando",IF(AND(OR(Datos!A28="Regular",Datos!A28="Aprobada"),Datos!A31="Aprobada",Datos!A35="Aprobada"),"✅ Disponible","❌ No Disponible"))))</f>
        <v>❌ No Disponible</v>
      </c>
      <c r="I56" s="159" t="str">
        <f>IF(OR(F56="Aprobada",F56="Regular"),"-",IF(H56="✅ Disponible","Sin faltantes",IF(AND(Datos!A28&lt;&gt;"Regular",Datos!A28&lt;&gt;"Aprobada"),A38&amp;"-"&amp;C38&amp;" (cursar); ","")&amp;IF(Datos!A31&lt;&gt;"Aprobada",A41&amp;"-"&amp;C41&amp;" (aprobar); ","")&amp;IF(Datos!A35&lt;&gt;"Aprobada",A45&amp;"-"&amp;C45&amp;" (aprobar); ","")))</f>
        <v xml:space="preserve">25-Diseño, simulación, optimización y seguridad (cursar); 28-Economía (aprobar); 32-Organización Industrial (aprobar); </v>
      </c>
      <c r="J56" s="160">
        <v>5</v>
      </c>
      <c r="K56" s="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26.1" customHeight="1" x14ac:dyDescent="0.25">
      <c r="A57" s="161">
        <v>46</v>
      </c>
      <c r="B57" s="88" t="s">
        <v>152</v>
      </c>
      <c r="C57" s="89" t="s">
        <v>157</v>
      </c>
      <c r="D57" s="162">
        <v>9</v>
      </c>
      <c r="E57" s="162">
        <v>16</v>
      </c>
      <c r="F57" s="101" t="s">
        <v>146</v>
      </c>
      <c r="G57" s="203" t="str">
        <f>IF(Finales!E50="","",Finales!E50)</f>
        <v/>
      </c>
      <c r="H57" s="216" t="str">
        <f>IF(F57="Aprobada","✅ Aprobada",IF(F57="Regular","🔄 Regular",IF(F57="Cursando","📖 Cursando",IF(AND(OR(Datos!A10="Regular",Datos!A10="Aprobada"),Datos!A18="Aprobada"),"✅ Disponible","❌ No Disponible"))))</f>
        <v>❌ No Disponible</v>
      </c>
      <c r="I57" s="163" t="str">
        <f>IF(OR(F57="Aprobada",F57="Regular"),"-",IF(H57="✅ Disponible","Sin faltantes",IF(AND(Datos!A10&lt;&gt;"Regular",Datos!A10&lt;&gt;"Aprobada"),A20&amp;"-"&amp;C20&amp;" (cursar); ","")&amp;IF(Datos!A18&lt;&gt;"Aprobada",A28&amp;"-"&amp;C28&amp;" (aprobar); ","")))</f>
        <v xml:space="preserve">9-Introducción a Equipos y Procesos (cursar); 16-Balances de Masa y Energía (aprobar); </v>
      </c>
      <c r="J57" s="164">
        <v>6</v>
      </c>
      <c r="K57" s="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26.1" customHeight="1" x14ac:dyDescent="0.25">
      <c r="A58" s="156">
        <v>47</v>
      </c>
      <c r="B58" s="85" t="s">
        <v>152</v>
      </c>
      <c r="C58" s="86" t="s">
        <v>158</v>
      </c>
      <c r="D58" s="157">
        <v>20</v>
      </c>
      <c r="E58" s="157" t="s">
        <v>176</v>
      </c>
      <c r="F58" s="158" t="s">
        <v>146</v>
      </c>
      <c r="G58" s="213" t="str">
        <f>IF(Finales!E51="","",Finales!E51)</f>
        <v/>
      </c>
      <c r="H58" s="216" t="str">
        <f>IF(F58="Aprobada","✅ Aprobada",IF(F58="Regular","🔄 Regular",IF(F58="Cursando","📖 Cursando",IF(AND(OR(Datos!A22="Regular",Datos!A22="Aprobada"),Datos!A15="Aprobada",Datos!A24="Aprobada"),"✅ Disponible","❌ No Disponible"))))</f>
        <v>❌ No Disponible</v>
      </c>
      <c r="I58" s="159" t="str">
        <f>IF(OR(F58="Aprobada",F58="Regular"),"-",IF(H58="✅ Disponible","Sin faltantes",IF(AND(Datos!A22&lt;&gt;"Regular",Datos!A22&lt;&gt;"Aprobada"),A32&amp;"-"&amp;C32&amp;" (cursar); ","")&amp;IF(Datos!A15&lt;&gt;"Aprobada",A25&amp;"-"&amp;C25&amp;" (aprobar); ","")&amp;IF(Datos!A24&lt;&gt;"Aprobada",A34&amp;"-"&amp;C34&amp;" (aprobar); ","")))</f>
        <v xml:space="preserve">20-Fisicoquímica (cursar); 14-Química Orgánica (aprobar); 22-Química Analítica (aprobar); </v>
      </c>
      <c r="J58" s="160">
        <v>6</v>
      </c>
      <c r="K58" s="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26.1" customHeight="1" x14ac:dyDescent="0.25">
      <c r="A59" s="161">
        <v>48</v>
      </c>
      <c r="B59" s="88" t="s">
        <v>152</v>
      </c>
      <c r="C59" s="89" t="s">
        <v>159</v>
      </c>
      <c r="D59" s="162" t="s">
        <v>177</v>
      </c>
      <c r="E59" s="162">
        <v>32</v>
      </c>
      <c r="F59" s="101" t="s">
        <v>146</v>
      </c>
      <c r="G59" s="203" t="str">
        <f>IF(Finales!E52="","",Finales!E52)</f>
        <v/>
      </c>
      <c r="H59" s="216" t="str">
        <f>IF(F59="Aprobada","✅ Aprobada",IF(F59="Regular","🔄 Regular",IF(F59="Cursando","📖 Cursando",IF(AND(OR(Datos!A32="Regular",Datos!A32="Aprobada"),OR(Datos!A33="Regular",Datos!A33="Aprobada"),OR(Datos!A34="Regular",Datos!A34="Aprobada"),Datos!A35="Aprobada"),"✅ Disponible","❌ No Disponible"))))</f>
        <v>❌ No Disponible</v>
      </c>
      <c r="I59" s="163" t="str">
        <f>IF(OR(F59="Aprobada",F59="Regular"),"-",IF(H59="✅ Disponible","Sin faltantes",IF(AND(Datos!A32&lt;&gt;"Regular",Datos!A32&lt;&gt;"Aprobada"),A42&amp;"-"&amp;C42&amp;" (cursar); ","")&amp;IF(AND(Datos!A33&lt;&gt;"Regular",Datos!A33&lt;&gt;"Aprobada"),A43&amp;"-"&amp;C43&amp;" (cursar); ","")&amp;IF(AND(Datos!A34&lt;&gt;"Regular",Datos!A34&lt;&gt;"Aprobada"),A44&amp;"-"&amp;C44&amp;" (cursar); ","")&amp;IF(Datos!A35&lt;&gt;"Aprobada",A45&amp;"-"&amp;C45&amp;" (aprobar); ","")))</f>
        <v xml:space="preserve">29-Operaciones Unitarias II (cursar); 30-Ingeniería de las Reacciones Químicas (cursar); 31-Calidad y Control Estadístico de Procesos (cursar); 32-Organización Industrial (aprobar); </v>
      </c>
      <c r="J59" s="164">
        <v>5</v>
      </c>
      <c r="K59" s="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26.1" customHeight="1" x14ac:dyDescent="0.25">
      <c r="A60" s="156">
        <v>49</v>
      </c>
      <c r="B60" s="85" t="s">
        <v>152</v>
      </c>
      <c r="C60" s="86" t="s">
        <v>160</v>
      </c>
      <c r="D60" s="157" t="s">
        <v>178</v>
      </c>
      <c r="E60" s="157" t="s">
        <v>179</v>
      </c>
      <c r="F60" s="158" t="s">
        <v>146</v>
      </c>
      <c r="G60" s="213" t="str">
        <f>IF(Finales!E53="","",Finales!E53)</f>
        <v/>
      </c>
      <c r="H60" s="216" t="str">
        <f>IF(F60="Aprobada","✅ Aprobada",IF(F60="Regular","🔄 Regular",IF(F60="Cursando","📖 Cursando",IF(AND(OR(Datos!A29="Regular",Datos!A29="Aprobada"),OR(Datos!A32="Regular",Datos!A32="Aprobada"),OR(Datos!A30="Regular",Datos!A30="Aprobada"),OR(Datos!A33="Regular",Datos!A33="Aprobada"),Datos!A19="Aprobada",Datos!A22="Aprobada"),"✅ Disponible","❌ No Disponible"))))</f>
        <v>❌ No Disponible</v>
      </c>
      <c r="I60" s="159" t="str">
        <f>IF(OR(F60="Aprobada",F60="Regular"),"-",IF(H60="✅ Disponible","Sin faltantes",IF(AND(Datos!A29&lt;&gt;"Regular",Datos!A29&lt;&gt;"Aprobada"),A39&amp;"-"&amp;C39&amp;" (cursar); ","")&amp;IF(AND(Datos!A32&lt;&gt;"Regular",Datos!A32&lt;&gt;"Aprobada"),A42&amp;"-"&amp;C42&amp;" (cursar); ","")&amp;IF(AND(Datos!A30&lt;&gt;"Regular",Datos!A30&lt;&gt;"Aprobada"),A40&amp;"-"&amp;C40&amp;" (cursar); ","")&amp;IF(AND(Datos!A33&lt;&gt;"Regular",Datos!A33&lt;&gt;"Aprobada"),A43&amp;"-"&amp;C43&amp;" (cursar); ","")&amp;IF(Datos!A19&lt;&gt;"Aprobada",A29&amp;"-"&amp;C29&amp;" (aprobar); ","")&amp;IF(Datos!A22&lt;&gt;"Aprobada",A32&amp;"-"&amp;C32&amp;" (aprobar); ","")))</f>
        <v xml:space="preserve">26-Operaciones Unitarias I (cursar); 29-Operaciones Unitarias II (cursar); 27-Tecnología de la Energía Térmica (cursar); 30-Ingeniería de las Reacciones Químicas (cursar); 17-Termodinámica (aprobar); 20-Fisicoquímica (aprobar); </v>
      </c>
      <c r="J60" s="160">
        <v>6</v>
      </c>
      <c r="K60" s="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26.1" customHeight="1" x14ac:dyDescent="0.25">
      <c r="A61" s="161">
        <v>50</v>
      </c>
      <c r="B61" s="88" t="s">
        <v>152</v>
      </c>
      <c r="C61" s="89" t="s">
        <v>161</v>
      </c>
      <c r="D61" s="162" t="s">
        <v>180</v>
      </c>
      <c r="E61" s="162" t="s">
        <v>181</v>
      </c>
      <c r="F61" s="101" t="s">
        <v>146</v>
      </c>
      <c r="G61" s="203" t="str">
        <f>IF(Finales!E54="","",Finales!E54)</f>
        <v/>
      </c>
      <c r="H61" s="216" t="str">
        <f>IF(F61="Aprobada","✅ Aprobada",IF(F61="Regular","🔄 Regular",IF(F61="Cursando","📖 Cursando",IF(AND(OR(Datos!A29="Regular",Datos!A29="Aprobada"),OR(Datos!A28="Regular",Datos!A28="Aprobada"),Datos!A8="Aprobada",Datos!A27="Aprobada"),"✅ Disponible","❌ No Disponible"))))</f>
        <v>❌ No Disponible</v>
      </c>
      <c r="I61" s="163" t="str">
        <f>IF(OR(F61="Aprobada",F61="Regular"),"-",IF(H61="✅ Disponible","Sin faltantes",IF(AND(Datos!A29&lt;&gt;"Regular",Datos!A29&lt;&gt;"Aprobada"),A39&amp;"-"&amp;C39&amp;" (cursar); ","")&amp;IF(AND(Datos!A28&lt;&gt;"Regular",Datos!A28&lt;&gt;"Aprobada"),A38&amp;"-"&amp;C38&amp;" (cursar); ","")&amp;IF(Datos!A8&lt;&gt;"Aprobada",A18&amp;"-"&amp;C18&amp;" (aprobar); ","")&amp;IF(Datos!A27&lt;&gt;"Aprobada",A37&amp;"-"&amp;C37&amp;" (aprobar); ","")))</f>
        <v xml:space="preserve">26-Operaciones Unitarias I (cursar); 25-Diseño, simulación, optimización y seguridad (cursar); 7-Sistemas de Representación (aprobar); 41-Inglés II (aprobar); </v>
      </c>
      <c r="J61" s="164">
        <v>6</v>
      </c>
      <c r="K61" s="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26.1" customHeight="1" x14ac:dyDescent="0.25">
      <c r="A62" s="156">
        <v>51</v>
      </c>
      <c r="B62" s="85" t="s">
        <v>152</v>
      </c>
      <c r="C62" s="86" t="s">
        <v>162</v>
      </c>
      <c r="D62" s="157">
        <v>27</v>
      </c>
      <c r="E62" s="157">
        <v>27</v>
      </c>
      <c r="F62" s="158" t="s">
        <v>146</v>
      </c>
      <c r="G62" s="213" t="str">
        <f>IF(Finales!E55="","",Finales!E55)</f>
        <v/>
      </c>
      <c r="H62" s="216" t="str">
        <f>IF(F62="Aprobada","✅ Aprobada",IF(F62="Regular","🔄 Regular",IF(F62="Cursando","📖 Cursando",IF(AND(OR(Datos!A30="Regular",Datos!A30="Aprobada"),Datos!A30="Aprobada"),"✅ Disponible","❌ No Disponible"))))</f>
        <v>❌ No Disponible</v>
      </c>
      <c r="I62" s="159" t="str">
        <f>IF(OR(F62="Aprobada",F62="Regular"),"-",IF(H62="✅ Disponible","Sin faltantes",IF(AND(Datos!A30&lt;&gt;"Regular",Datos!A30&lt;&gt;"Aprobada"),A40&amp;"-"&amp;C40&amp;" (cursar); ","")&amp;IF(Datos!A30&lt;&gt;"Aprobada",A40&amp;"-"&amp;C40&amp;" (aprobar); ","")))</f>
        <v xml:space="preserve">27-Tecnología de la Energía Térmica (cursar); 27-Tecnología de la Energía Térmica (aprobar); </v>
      </c>
      <c r="J62" s="160">
        <v>6</v>
      </c>
      <c r="K62" s="5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26.1" customHeight="1" x14ac:dyDescent="0.25">
      <c r="A63" s="161">
        <v>52</v>
      </c>
      <c r="B63" s="88" t="s">
        <v>152</v>
      </c>
      <c r="C63" s="89" t="s">
        <v>186</v>
      </c>
      <c r="D63" s="162">
        <v>27</v>
      </c>
      <c r="E63" s="162" t="s">
        <v>182</v>
      </c>
      <c r="F63" s="101" t="s">
        <v>146</v>
      </c>
      <c r="G63" s="203" t="str">
        <f>IF(Finales!E56="","",Finales!E56)</f>
        <v/>
      </c>
      <c r="H63" s="216" t="str">
        <f>IF(F63="Aprobada","✅ Aprobada",IF(F63="Regular","🔄 Regular",IF(F63="Cursando","📖 Cursando",IF(AND(OR(Datos!A30="Regular",Datos!A30="Aprobada"),Datos!A32="Aprobada",Datos!A22="Aprobada"),"✅ Disponible","❌ No Disponible"))))</f>
        <v>❌ No Disponible</v>
      </c>
      <c r="I63" s="163" t="str">
        <f>IF(OR(F63="Aprobada",F63="Regular"),"-",IF(H63="✅ Disponible","Sin faltantes",IF(AND(Datos!A30&lt;&gt;"Regular",Datos!A30&lt;&gt;"Aprobada"),A40&amp;"-"&amp;C40&amp;" (cursar); ","")&amp;IF(Datos!A32&lt;&gt;"Aprobada",A42&amp;"-"&amp;C42&amp;" (aprobar); ","")&amp;IF(Datos!A22&lt;&gt;"Aprobada",A32&amp;"-"&amp;C32&amp;" (aprobar); ","")))</f>
        <v xml:space="preserve">27-Tecnología de la Energía Térmica (cursar); 29-Operaciones Unitarias II (aprobar); 20-Fisicoquímica (aprobar); </v>
      </c>
      <c r="J63" s="164">
        <v>6</v>
      </c>
      <c r="K63" s="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26.1" customHeight="1" x14ac:dyDescent="0.25">
      <c r="A64" s="156">
        <v>53</v>
      </c>
      <c r="B64" s="85" t="s">
        <v>152</v>
      </c>
      <c r="C64" s="86" t="s">
        <v>187</v>
      </c>
      <c r="D64" s="157">
        <v>25</v>
      </c>
      <c r="E64" s="157">
        <v>24</v>
      </c>
      <c r="F64" s="158" t="s">
        <v>146</v>
      </c>
      <c r="G64" s="213" t="str">
        <f>IF(Finales!E57="","",Finales!E57)</f>
        <v/>
      </c>
      <c r="H64" s="216" t="str">
        <f>IF(F64="Aprobada","✅ Aprobada",IF(F64="Regular","🔄 Regular",IF(F64="Cursando","📖 Cursando",IF(AND(OR(Datos!A28="Regular",Datos!A28="Aprobada"),Datos!A26="Aprobada"),"✅ Disponible","❌ No Disponible"))))</f>
        <v>❌ No Disponible</v>
      </c>
      <c r="I64" s="159" t="str">
        <f>IF(OR(F64="Aprobada",F64="Regular"),"-",IF(H64="✅ Disponible","Sin faltantes",IF(AND(Datos!A28&lt;&gt;"Regular",Datos!A28&lt;&gt;"Aprobada"),A38&amp;"-"&amp;C38&amp;" (cursar); ","")&amp;IF(Datos!A26&lt;&gt;"Aprobada",A36&amp;"-"&amp;C36&amp;" (aprobar); ","")))</f>
        <v xml:space="preserve">25-Diseño, simulación, optimización y seguridad (cursar); 24-Química Aplicada (aprobar); </v>
      </c>
      <c r="J64" s="160">
        <v>6</v>
      </c>
      <c r="K64" s="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26.1" customHeight="1" thickBot="1" x14ac:dyDescent="0.3">
      <c r="A65" s="192">
        <v>54</v>
      </c>
      <c r="B65" s="90" t="s">
        <v>152</v>
      </c>
      <c r="C65" s="91" t="s">
        <v>173</v>
      </c>
      <c r="D65" s="193">
        <v>32</v>
      </c>
      <c r="E65" s="193" t="s">
        <v>174</v>
      </c>
      <c r="F65" s="194" t="s">
        <v>146</v>
      </c>
      <c r="G65" s="214" t="str">
        <f>IF(Finales!E58="","",Finales!E58)</f>
        <v/>
      </c>
      <c r="H65" s="217" t="str">
        <f>IF(F65="Aprobada","✅ Aprobada",IF(F65="Regular","🔄 Regular",IF(F65="Cursando","📖 Cursando",IF(AND(OR(Datos!A35="Regular",Datos!A35="Aprobada"),Datos!A31="Aprobada",Datos!A16="Aprobada"),"✅ Disponible","❌ No Disponible"))))</f>
        <v>❌ No Disponible</v>
      </c>
      <c r="I65" s="218" t="str">
        <f>IF(OR(F65="Aprobada",F65="Regular"),"-",IF(H65="✅ Disponible","Sin faltantes",IF(AND(Datos!A35&lt;&gt;"Regular",Datos!A35&lt;&gt;"Aprobada"),A45&amp;"-"&amp;C45&amp;" (cursar); ","")&amp;IF(Datos!A31&lt;&gt;"Aprobada",A41&amp;"-"&amp;C41&amp;" (aprobar); ","")&amp;IF(Datos!A16&lt;&gt;"Aprobada",A26&amp;"-"&amp;C26&amp;" (aprobar); ","")))</f>
        <v xml:space="preserve">32-Organización Industrial (cursar); 28-Economía (aprobar); 15-Legislación (aprobar); </v>
      </c>
      <c r="J65" s="195">
        <v>6</v>
      </c>
      <c r="K65" s="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</sheetData>
  <sheetProtection sheet="1" objects="1" scenarios="1"/>
  <mergeCells count="21">
    <mergeCell ref="A1:I1"/>
    <mergeCell ref="A2:I2"/>
    <mergeCell ref="A8:I8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I6:J6"/>
    <mergeCell ref="I7:J7"/>
    <mergeCell ref="A6:D6"/>
    <mergeCell ref="A7:D7"/>
    <mergeCell ref="E6:F6"/>
    <mergeCell ref="E7:F7"/>
    <mergeCell ref="G6:H6"/>
    <mergeCell ref="G7:H7"/>
  </mergeCells>
  <conditionalFormatting sqref="F12:F65">
    <cfRule type="containsText" dxfId="26" priority="17" operator="containsText" text="Aprobada">
      <formula>NOT(ISERROR(SEARCH("Aprobada",F12)))</formula>
    </cfRule>
    <cfRule type="containsText" dxfId="25" priority="18" operator="containsText" text="Regular">
      <formula>NOT(ISERROR(SEARCH("Regular",F12)))</formula>
    </cfRule>
    <cfRule type="containsText" dxfId="24" priority="19" operator="containsText" text="Cursando">
      <formula>NOT(ISERROR(SEARCH("Cursando",F12)))</formula>
    </cfRule>
    <cfRule type="containsText" dxfId="23" priority="20" operator="containsText" text="No Cursada">
      <formula>NOT(ISERROR(SEARCH("No Cursada",F12)))</formula>
    </cfRule>
  </conditionalFormatting>
  <conditionalFormatting sqref="G12:G65">
    <cfRule type="containsText" dxfId="22" priority="13" operator="containsText" text="Aprobada">
      <formula>NOT(ISERROR(SEARCH("Aprobada",G12)))</formula>
    </cfRule>
    <cfRule type="containsText" dxfId="21" priority="14" operator="containsText" text="Regular">
      <formula>NOT(ISERROR(SEARCH("Regular",G12)))</formula>
    </cfRule>
    <cfRule type="containsText" dxfId="20" priority="15" operator="containsText" text="Cursando">
      <formula>NOT(ISERROR(SEARCH("Cursando",G12)))</formula>
    </cfRule>
    <cfRule type="containsText" dxfId="19" priority="16" operator="containsText" text="No Cursada">
      <formula>NOT(ISERROR(SEARCH("No Cursada",G12)))</formula>
    </cfRule>
  </conditionalFormatting>
  <conditionalFormatting sqref="H12:H52">
    <cfRule type="containsText" dxfId="18" priority="4" operator="containsText" text="Disponible">
      <formula>NOT(ISERROR(SEARCH("Disponible",H12)))</formula>
    </cfRule>
    <cfRule type="containsText" dxfId="17" priority="5" operator="containsText" text="Aprobada">
      <formula>NOT(ISERROR(SEARCH("Aprobada",H12)))</formula>
    </cfRule>
    <cfRule type="containsText" dxfId="16" priority="6" operator="containsText" text="Regular">
      <formula>NOT(ISERROR(SEARCH("Regular",H12)))</formula>
    </cfRule>
    <cfRule type="containsText" dxfId="15" priority="7" operator="containsText" text="No Disponible">
      <formula>NOT(ISERROR(SEARCH("No Disponible",H12)))</formula>
    </cfRule>
    <cfRule type="containsText" dxfId="14" priority="12" operator="containsText" text="Cursando">
      <formula>NOT(ISERROR(SEARCH("Cursando",H12)))</formula>
    </cfRule>
  </conditionalFormatting>
  <dataValidations count="2">
    <dataValidation type="list" allowBlank="1" showInputMessage="1" showErrorMessage="1" promptTitle="Estado" prompt="Seleccione: No Cursada, Cursando, Regular o Aprobada" sqref="F12:F65" xr:uid="{7C8EEFAD-ABFD-4E70-B646-56C7C68A5C9E}">
      <formula1>"No Cursada,Cursando,Regular,Aprobada"</formula1>
    </dataValidation>
    <dataValidation type="whole" allowBlank="1" showInputMessage="1" showErrorMessage="1" sqref="G12:G65" xr:uid="{4B154F40-B33B-4A0A-AD7A-85A1B47C4F5B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1284-5508-4B2E-B4EF-E212D10DFDA6}">
  <dimension ref="A1:Q58"/>
  <sheetViews>
    <sheetView zoomScaleNormal="100" workbookViewId="0">
      <pane ySplit="4" topLeftCell="A5" activePane="bottomLeft" state="frozen"/>
      <selection pane="bottomLeft" activeCell="G8" sqref="G8"/>
    </sheetView>
  </sheetViews>
  <sheetFormatPr baseColWidth="10" defaultRowHeight="15" x14ac:dyDescent="0.25"/>
  <cols>
    <col min="1" max="1" width="6.140625" customWidth="1"/>
    <col min="2" max="2" width="8" customWidth="1"/>
    <col min="3" max="3" width="49.5703125" customWidth="1"/>
    <col min="4" max="4" width="16.140625" customWidth="1"/>
    <col min="5" max="5" width="12.42578125" customWidth="1"/>
    <col min="6" max="6" width="15.28515625" customWidth="1"/>
    <col min="7" max="7" width="10.42578125" customWidth="1"/>
    <col min="8" max="8" width="15.28515625" customWidth="1"/>
    <col min="9" max="9" width="10.42578125" customWidth="1"/>
    <col min="10" max="10" width="15.28515625" customWidth="1"/>
    <col min="11" max="11" width="10.42578125" customWidth="1"/>
    <col min="12" max="12" width="15.28515625" customWidth="1"/>
    <col min="13" max="13" width="10.42578125" customWidth="1"/>
    <col min="14" max="14" width="15.28515625" customWidth="1"/>
    <col min="15" max="15" width="10.42578125" customWidth="1"/>
    <col min="16" max="16" width="15.28515625" customWidth="1"/>
    <col min="17" max="17" width="10.42578125" customWidth="1"/>
  </cols>
  <sheetData>
    <row r="1" spans="1:17" ht="48" customHeight="1" x14ac:dyDescent="0.25">
      <c r="A1" s="270" t="s">
        <v>137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7"/>
      <c r="O1" s="7"/>
      <c r="P1" s="7"/>
      <c r="Q1" s="7"/>
    </row>
    <row r="2" spans="1:17" ht="27.95" customHeight="1" x14ac:dyDescent="0.25">
      <c r="A2" s="298" t="s">
        <v>138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38"/>
      <c r="O2" s="38"/>
      <c r="P2" s="38"/>
      <c r="Q2" s="38"/>
    </row>
    <row r="3" spans="1:17" ht="6" customHeight="1" thickBo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ht="32.1" customHeight="1" thickBot="1" x14ac:dyDescent="0.3">
      <c r="A4" s="39" t="s">
        <v>0</v>
      </c>
      <c r="B4" s="39" t="s">
        <v>129</v>
      </c>
      <c r="C4" s="39" t="s">
        <v>130</v>
      </c>
      <c r="D4" s="39" t="s">
        <v>134</v>
      </c>
      <c r="E4" s="249" t="s">
        <v>133</v>
      </c>
      <c r="F4" s="39" t="s">
        <v>139</v>
      </c>
      <c r="G4" s="249" t="s">
        <v>148</v>
      </c>
      <c r="H4" s="39" t="s">
        <v>140</v>
      </c>
      <c r="I4" s="249" t="s">
        <v>149</v>
      </c>
      <c r="J4" s="39" t="s">
        <v>141</v>
      </c>
      <c r="K4" s="249" t="s">
        <v>150</v>
      </c>
      <c r="L4" s="39" t="s">
        <v>142</v>
      </c>
      <c r="M4" s="249" t="s">
        <v>151</v>
      </c>
      <c r="N4" s="39" t="s">
        <v>169</v>
      </c>
      <c r="O4" s="249" t="s">
        <v>170</v>
      </c>
      <c r="P4" s="39" t="s">
        <v>171</v>
      </c>
      <c r="Q4" s="39" t="s">
        <v>172</v>
      </c>
    </row>
    <row r="5" spans="1:17" ht="26.1" customHeight="1" x14ac:dyDescent="0.25">
      <c r="A5" s="41">
        <v>1</v>
      </c>
      <c r="B5" s="25" t="s">
        <v>4</v>
      </c>
      <c r="C5" s="26" t="s">
        <v>5</v>
      </c>
      <c r="D5" s="184" t="str">
        <f>Seguimiento!F12</f>
        <v>No Cursada</v>
      </c>
      <c r="E5" s="220" t="str">
        <f>IF(COUNTA(G5,I5,K5,M5,O5,Q5)=0,"",IF(MAX(IF(G5&gt;=6,G5,0),IF(I5&gt;=6,I5,0),IF(K5&gt;=6,K5,0),IF(M5&gt;=6,M5,0),IF(O5&gt;=6,O5,0),IF(Q5&gt;=6,Q5,0))&gt;0,MAX(IF(G5&gt;=6,G5,0),IF(I5&gt;=6,I5,0),IF(K5&gt;=6,K5,0),IF(M5&gt;=6,M5,0),IF(O5&gt;=6,O5,0),IF(Q5&gt;=6,Q5,0)),IF(Q5&lt;&gt;"",Q5,IF(O5&lt;&gt;"",O5,IF(M5&lt;&gt;"",M5,IF(K5&lt;&gt;"",K5,IF(I5&lt;&gt;"",I5,G5)))))))</f>
        <v/>
      </c>
      <c r="F5" s="42"/>
      <c r="G5" s="229"/>
      <c r="H5" s="44"/>
      <c r="I5" s="229"/>
      <c r="J5" s="44"/>
      <c r="K5" s="229"/>
      <c r="L5" s="44"/>
      <c r="M5" s="229"/>
      <c r="N5" s="44"/>
      <c r="O5" s="229"/>
      <c r="P5" s="44"/>
      <c r="Q5" s="43"/>
    </row>
    <row r="6" spans="1:17" ht="26.1" customHeight="1" x14ac:dyDescent="0.25">
      <c r="A6" s="65">
        <v>2</v>
      </c>
      <c r="B6" s="66" t="s">
        <v>4</v>
      </c>
      <c r="C6" s="67" t="s">
        <v>7</v>
      </c>
      <c r="D6" s="185" t="str">
        <f>Seguimiento!F13</f>
        <v>No Cursada</v>
      </c>
      <c r="E6" s="219" t="str">
        <f t="shared" ref="E6:E58" si="0">IF(COUNTA(G6,I6,K6,M6,O6,Q6)=0,"",IF(MAX(IF(G6&gt;=6,G6,0),IF(I6&gt;=6,I6,0),IF(K6&gt;=6,K6,0),IF(M6&gt;=6,M6,0),IF(O6&gt;=6,O6,0),IF(Q6&gt;=6,Q6,0))&gt;0,MAX(IF(G6&gt;=6,G6,0),IF(I6&gt;=6,I6,0),IF(K6&gt;=6,K6,0),IF(M6&gt;=6,M6,0),IF(O6&gt;=6,O6,0),IF(Q6&gt;=6,Q6,0)),IF(Q6&lt;&gt;"",Q6,IF(O6&lt;&gt;"",O6,IF(M6&lt;&gt;"",M6,IF(K6&lt;&gt;"",K6,IF(I6&lt;&gt;"",I6,G6)))))))</f>
        <v/>
      </c>
      <c r="F6" s="240"/>
      <c r="G6" s="227"/>
      <c r="H6" s="226"/>
      <c r="I6" s="227"/>
      <c r="J6" s="226"/>
      <c r="K6" s="227"/>
      <c r="L6" s="226"/>
      <c r="M6" s="227"/>
      <c r="N6" s="226"/>
      <c r="O6" s="227"/>
      <c r="P6" s="226"/>
      <c r="Q6" s="227"/>
    </row>
    <row r="7" spans="1:17" ht="26.1" customHeight="1" x14ac:dyDescent="0.25">
      <c r="A7" s="40">
        <v>3</v>
      </c>
      <c r="B7" s="17" t="s">
        <v>4</v>
      </c>
      <c r="C7" s="18" t="s">
        <v>8</v>
      </c>
      <c r="D7" s="185" t="str">
        <f>Seguimiento!F14</f>
        <v>No Cursada</v>
      </c>
      <c r="E7" s="220" t="str">
        <f t="shared" si="0"/>
        <v/>
      </c>
      <c r="F7" s="241"/>
      <c r="G7" s="229"/>
      <c r="H7" s="228"/>
      <c r="I7" s="229"/>
      <c r="J7" s="228"/>
      <c r="K7" s="229"/>
      <c r="L7" s="228"/>
      <c r="M7" s="229"/>
      <c r="N7" s="228"/>
      <c r="O7" s="229"/>
      <c r="P7" s="228"/>
      <c r="Q7" s="229"/>
    </row>
    <row r="8" spans="1:17" ht="26.1" customHeight="1" x14ac:dyDescent="0.25">
      <c r="A8" s="65">
        <v>4</v>
      </c>
      <c r="B8" s="66" t="s">
        <v>4</v>
      </c>
      <c r="C8" s="67" t="s">
        <v>9</v>
      </c>
      <c r="D8" s="185" t="str">
        <f>Seguimiento!F15</f>
        <v>No Cursada</v>
      </c>
      <c r="E8" s="219" t="str">
        <f t="shared" si="0"/>
        <v/>
      </c>
      <c r="F8" s="240"/>
      <c r="G8" s="227"/>
      <c r="H8" s="226"/>
      <c r="I8" s="227"/>
      <c r="J8" s="226"/>
      <c r="K8" s="227"/>
      <c r="L8" s="226"/>
      <c r="M8" s="227"/>
      <c r="N8" s="226"/>
      <c r="O8" s="227"/>
      <c r="P8" s="226"/>
      <c r="Q8" s="227"/>
    </row>
    <row r="9" spans="1:17" ht="26.1" customHeight="1" x14ac:dyDescent="0.25">
      <c r="A9" s="40">
        <v>5</v>
      </c>
      <c r="B9" s="17" t="s">
        <v>4</v>
      </c>
      <c r="C9" s="18" t="s">
        <v>10</v>
      </c>
      <c r="D9" s="185" t="str">
        <f>Seguimiento!F16</f>
        <v>No Cursada</v>
      </c>
      <c r="E9" s="220" t="str">
        <f t="shared" si="0"/>
        <v/>
      </c>
      <c r="F9" s="241"/>
      <c r="G9" s="229"/>
      <c r="H9" s="228"/>
      <c r="I9" s="229"/>
      <c r="J9" s="228"/>
      <c r="K9" s="229"/>
      <c r="L9" s="228"/>
      <c r="M9" s="229"/>
      <c r="N9" s="228"/>
      <c r="O9" s="229"/>
      <c r="P9" s="228"/>
      <c r="Q9" s="229"/>
    </row>
    <row r="10" spans="1:17" ht="26.1" customHeight="1" x14ac:dyDescent="0.25">
      <c r="A10" s="65">
        <v>6</v>
      </c>
      <c r="B10" s="66" t="s">
        <v>4</v>
      </c>
      <c r="C10" s="67" t="s">
        <v>11</v>
      </c>
      <c r="D10" s="185" t="str">
        <f>Seguimiento!F17</f>
        <v>No Cursada</v>
      </c>
      <c r="E10" s="219" t="str">
        <f t="shared" si="0"/>
        <v/>
      </c>
      <c r="F10" s="240"/>
      <c r="G10" s="227"/>
      <c r="H10" s="226"/>
      <c r="I10" s="227"/>
      <c r="J10" s="226"/>
      <c r="K10" s="227"/>
      <c r="L10" s="226"/>
      <c r="M10" s="227"/>
      <c r="N10" s="226"/>
      <c r="O10" s="227"/>
      <c r="P10" s="226"/>
      <c r="Q10" s="227"/>
    </row>
    <row r="11" spans="1:17" ht="26.1" customHeight="1" x14ac:dyDescent="0.25">
      <c r="A11" s="40">
        <v>7</v>
      </c>
      <c r="B11" s="17" t="s">
        <v>4</v>
      </c>
      <c r="C11" s="18" t="s">
        <v>12</v>
      </c>
      <c r="D11" s="185" t="str">
        <f>Seguimiento!F18</f>
        <v>No Cursada</v>
      </c>
      <c r="E11" s="220" t="str">
        <f t="shared" si="0"/>
        <v/>
      </c>
      <c r="F11" s="241"/>
      <c r="G11" s="229"/>
      <c r="H11" s="228"/>
      <c r="I11" s="229"/>
      <c r="J11" s="228"/>
      <c r="K11" s="229"/>
      <c r="L11" s="228"/>
      <c r="M11" s="229"/>
      <c r="N11" s="228"/>
      <c r="O11" s="229"/>
      <c r="P11" s="228"/>
      <c r="Q11" s="229"/>
    </row>
    <row r="12" spans="1:17" ht="26.1" customHeight="1" thickBot="1" x14ac:dyDescent="0.3">
      <c r="A12" s="65">
        <v>8</v>
      </c>
      <c r="B12" s="66" t="s">
        <v>4</v>
      </c>
      <c r="C12" s="67" t="s">
        <v>13</v>
      </c>
      <c r="D12" s="185" t="str">
        <f>Seguimiento!F19</f>
        <v>No Cursada</v>
      </c>
      <c r="E12" s="219" t="str">
        <f t="shared" si="0"/>
        <v/>
      </c>
      <c r="F12" s="240"/>
      <c r="G12" s="227"/>
      <c r="H12" s="226"/>
      <c r="I12" s="227"/>
      <c r="J12" s="226"/>
      <c r="K12" s="227"/>
      <c r="L12" s="226"/>
      <c r="M12" s="227"/>
      <c r="N12" s="226"/>
      <c r="O12" s="227"/>
      <c r="P12" s="226"/>
      <c r="Q12" s="227"/>
    </row>
    <row r="13" spans="1:17" ht="26.1" customHeight="1" x14ac:dyDescent="0.25">
      <c r="A13" s="45">
        <v>9</v>
      </c>
      <c r="B13" s="27" t="s">
        <v>20</v>
      </c>
      <c r="C13" s="28" t="s">
        <v>14</v>
      </c>
      <c r="D13" s="186" t="str">
        <f>Seguimiento!F20</f>
        <v>No Cursada</v>
      </c>
      <c r="E13" s="49" t="str">
        <f t="shared" si="0"/>
        <v/>
      </c>
      <c r="F13" s="46"/>
      <c r="G13" s="47"/>
      <c r="H13" s="48"/>
      <c r="I13" s="47"/>
      <c r="J13" s="48"/>
      <c r="K13" s="47"/>
      <c r="L13" s="48"/>
      <c r="M13" s="47"/>
      <c r="N13" s="48"/>
      <c r="O13" s="47"/>
      <c r="P13" s="48"/>
      <c r="Q13" s="47"/>
    </row>
    <row r="14" spans="1:17" ht="26.1" customHeight="1" x14ac:dyDescent="0.25">
      <c r="A14" s="68">
        <v>10</v>
      </c>
      <c r="B14" s="69" t="s">
        <v>20</v>
      </c>
      <c r="C14" s="70" t="s">
        <v>16</v>
      </c>
      <c r="D14" s="185" t="str">
        <f>Seguimiento!F21</f>
        <v>No Cursada</v>
      </c>
      <c r="E14" s="221" t="str">
        <f t="shared" si="0"/>
        <v/>
      </c>
      <c r="F14" s="242"/>
      <c r="G14" s="231"/>
      <c r="H14" s="230"/>
      <c r="I14" s="231"/>
      <c r="J14" s="230"/>
      <c r="K14" s="231"/>
      <c r="L14" s="230"/>
      <c r="M14" s="231"/>
      <c r="N14" s="230"/>
      <c r="O14" s="231"/>
      <c r="P14" s="230"/>
      <c r="Q14" s="231"/>
    </row>
    <row r="15" spans="1:17" ht="26.1" customHeight="1" x14ac:dyDescent="0.25">
      <c r="A15" s="40">
        <v>11</v>
      </c>
      <c r="B15" s="21" t="s">
        <v>20</v>
      </c>
      <c r="C15" s="18" t="s">
        <v>18</v>
      </c>
      <c r="D15" s="185" t="str">
        <f>Seguimiento!F22</f>
        <v>No Cursada</v>
      </c>
      <c r="E15" s="220" t="str">
        <f t="shared" si="0"/>
        <v/>
      </c>
      <c r="F15" s="241"/>
      <c r="G15" s="229"/>
      <c r="H15" s="228"/>
      <c r="I15" s="229"/>
      <c r="J15" s="228"/>
      <c r="K15" s="229"/>
      <c r="L15" s="228"/>
      <c r="M15" s="229"/>
      <c r="N15" s="228"/>
      <c r="O15" s="229"/>
      <c r="P15" s="228"/>
      <c r="Q15" s="229"/>
    </row>
    <row r="16" spans="1:17" ht="26.1" customHeight="1" x14ac:dyDescent="0.25">
      <c r="A16" s="68">
        <v>12</v>
      </c>
      <c r="B16" s="69" t="s">
        <v>20</v>
      </c>
      <c r="C16" s="70" t="s">
        <v>19</v>
      </c>
      <c r="D16" s="185" t="str">
        <f>Seguimiento!F23</f>
        <v>No Cursada</v>
      </c>
      <c r="E16" s="221" t="str">
        <f t="shared" si="0"/>
        <v/>
      </c>
      <c r="F16" s="242"/>
      <c r="G16" s="231"/>
      <c r="H16" s="230"/>
      <c r="I16" s="231"/>
      <c r="J16" s="230"/>
      <c r="K16" s="231"/>
      <c r="L16" s="230"/>
      <c r="M16" s="231"/>
      <c r="N16" s="230"/>
      <c r="O16" s="231"/>
      <c r="P16" s="230"/>
      <c r="Q16" s="231"/>
    </row>
    <row r="17" spans="1:17" ht="26.1" customHeight="1" x14ac:dyDescent="0.25">
      <c r="A17" s="40">
        <v>13</v>
      </c>
      <c r="B17" s="21" t="s">
        <v>20</v>
      </c>
      <c r="C17" s="18" t="s">
        <v>21</v>
      </c>
      <c r="D17" s="185" t="str">
        <f>Seguimiento!F24</f>
        <v>No Cursada</v>
      </c>
      <c r="E17" s="220" t="str">
        <f t="shared" si="0"/>
        <v/>
      </c>
      <c r="F17" s="241"/>
      <c r="G17" s="229"/>
      <c r="H17" s="228"/>
      <c r="I17" s="229"/>
      <c r="J17" s="228"/>
      <c r="K17" s="229"/>
      <c r="L17" s="228"/>
      <c r="M17" s="229"/>
      <c r="N17" s="228"/>
      <c r="O17" s="229"/>
      <c r="P17" s="228"/>
      <c r="Q17" s="229"/>
    </row>
    <row r="18" spans="1:17" ht="26.1" customHeight="1" x14ac:dyDescent="0.25">
      <c r="A18" s="68">
        <v>14</v>
      </c>
      <c r="B18" s="69" t="s">
        <v>20</v>
      </c>
      <c r="C18" s="70" t="s">
        <v>23</v>
      </c>
      <c r="D18" s="185" t="str">
        <f>Seguimiento!F25</f>
        <v>No Cursada</v>
      </c>
      <c r="E18" s="221" t="str">
        <f t="shared" si="0"/>
        <v/>
      </c>
      <c r="F18" s="242"/>
      <c r="G18" s="231"/>
      <c r="H18" s="230"/>
      <c r="I18" s="231"/>
      <c r="J18" s="230"/>
      <c r="K18" s="231"/>
      <c r="L18" s="230"/>
      <c r="M18" s="231"/>
      <c r="N18" s="230"/>
      <c r="O18" s="231"/>
      <c r="P18" s="230"/>
      <c r="Q18" s="231"/>
    </row>
    <row r="19" spans="1:17" ht="26.1" customHeight="1" x14ac:dyDescent="0.25">
      <c r="A19" s="40">
        <v>15</v>
      </c>
      <c r="B19" s="21" t="s">
        <v>20</v>
      </c>
      <c r="C19" s="18" t="s">
        <v>24</v>
      </c>
      <c r="D19" s="185" t="str">
        <f>Seguimiento!F26</f>
        <v>No Cursada</v>
      </c>
      <c r="E19" s="220" t="str">
        <f t="shared" si="0"/>
        <v/>
      </c>
      <c r="F19" s="241"/>
      <c r="G19" s="229"/>
      <c r="H19" s="228"/>
      <c r="I19" s="229"/>
      <c r="J19" s="228"/>
      <c r="K19" s="229"/>
      <c r="L19" s="228"/>
      <c r="M19" s="229"/>
      <c r="N19" s="228"/>
      <c r="O19" s="229"/>
      <c r="P19" s="228"/>
      <c r="Q19" s="229"/>
    </row>
    <row r="20" spans="1:17" ht="26.1" customHeight="1" thickBot="1" x14ac:dyDescent="0.3">
      <c r="A20" s="68">
        <v>40</v>
      </c>
      <c r="B20" s="69" t="s">
        <v>20</v>
      </c>
      <c r="C20" s="70" t="s">
        <v>26</v>
      </c>
      <c r="D20" s="185" t="str">
        <f>Seguimiento!F27</f>
        <v>No Cursada</v>
      </c>
      <c r="E20" s="221" t="str">
        <f t="shared" si="0"/>
        <v/>
      </c>
      <c r="F20" s="242"/>
      <c r="G20" s="231"/>
      <c r="H20" s="230"/>
      <c r="I20" s="231"/>
      <c r="J20" s="230"/>
      <c r="K20" s="231"/>
      <c r="L20" s="230"/>
      <c r="M20" s="231"/>
      <c r="N20" s="230"/>
      <c r="O20" s="231"/>
      <c r="P20" s="230"/>
      <c r="Q20" s="231"/>
    </row>
    <row r="21" spans="1:17" ht="26.1" customHeight="1" x14ac:dyDescent="0.25">
      <c r="A21" s="50">
        <v>16</v>
      </c>
      <c r="B21" s="29" t="s">
        <v>39</v>
      </c>
      <c r="C21" s="30" t="s">
        <v>27</v>
      </c>
      <c r="D21" s="187" t="str">
        <f>Seguimiento!F28</f>
        <v>No Cursada</v>
      </c>
      <c r="E21" s="54" t="str">
        <f t="shared" si="0"/>
        <v/>
      </c>
      <c r="F21" s="51"/>
      <c r="G21" s="52"/>
      <c r="H21" s="53"/>
      <c r="I21" s="52"/>
      <c r="J21" s="53"/>
      <c r="K21" s="52"/>
      <c r="L21" s="53"/>
      <c r="M21" s="52"/>
      <c r="N21" s="53"/>
      <c r="O21" s="52"/>
      <c r="P21" s="53"/>
      <c r="Q21" s="52"/>
    </row>
    <row r="22" spans="1:17" ht="26.1" customHeight="1" x14ac:dyDescent="0.25">
      <c r="A22" s="167">
        <v>17</v>
      </c>
      <c r="B22" s="168" t="s">
        <v>39</v>
      </c>
      <c r="C22" s="169" t="s">
        <v>30</v>
      </c>
      <c r="D22" s="185" t="str">
        <f>Seguimiento!F29</f>
        <v>No Cursada</v>
      </c>
      <c r="E22" s="222" t="str">
        <f t="shared" si="0"/>
        <v/>
      </c>
      <c r="F22" s="243"/>
      <c r="G22" s="233"/>
      <c r="H22" s="232"/>
      <c r="I22" s="233"/>
      <c r="J22" s="232"/>
      <c r="K22" s="233"/>
      <c r="L22" s="232"/>
      <c r="M22" s="233"/>
      <c r="N22" s="232"/>
      <c r="O22" s="233"/>
      <c r="P22" s="232"/>
      <c r="Q22" s="233"/>
    </row>
    <row r="23" spans="1:17" ht="26.1" customHeight="1" x14ac:dyDescent="0.25">
      <c r="A23" s="40">
        <v>18</v>
      </c>
      <c r="B23" s="22" t="s">
        <v>39</v>
      </c>
      <c r="C23" s="18" t="s">
        <v>33</v>
      </c>
      <c r="D23" s="185" t="str">
        <f>Seguimiento!F30</f>
        <v>No Cursada</v>
      </c>
      <c r="E23" s="220" t="str">
        <f t="shared" si="0"/>
        <v/>
      </c>
      <c r="F23" s="241"/>
      <c r="G23" s="229"/>
      <c r="H23" s="228"/>
      <c r="I23" s="229"/>
      <c r="J23" s="228"/>
      <c r="K23" s="229"/>
      <c r="L23" s="228"/>
      <c r="M23" s="229"/>
      <c r="N23" s="228"/>
      <c r="O23" s="229"/>
      <c r="P23" s="228"/>
      <c r="Q23" s="229"/>
    </row>
    <row r="24" spans="1:17" ht="26.1" customHeight="1" x14ac:dyDescent="0.25">
      <c r="A24" s="167">
        <v>19</v>
      </c>
      <c r="B24" s="168" t="s">
        <v>39</v>
      </c>
      <c r="C24" s="169" t="s">
        <v>34</v>
      </c>
      <c r="D24" s="185" t="str">
        <f>Seguimiento!F31</f>
        <v>No Cursada</v>
      </c>
      <c r="E24" s="222" t="str">
        <f t="shared" si="0"/>
        <v/>
      </c>
      <c r="F24" s="243"/>
      <c r="G24" s="233"/>
      <c r="H24" s="232"/>
      <c r="I24" s="233"/>
      <c r="J24" s="232"/>
      <c r="K24" s="233"/>
      <c r="L24" s="232"/>
      <c r="M24" s="233"/>
      <c r="N24" s="232"/>
      <c r="O24" s="233"/>
      <c r="P24" s="232"/>
      <c r="Q24" s="233"/>
    </row>
    <row r="25" spans="1:17" ht="26.1" customHeight="1" x14ac:dyDescent="0.25">
      <c r="A25" s="40">
        <v>20</v>
      </c>
      <c r="B25" s="22" t="s">
        <v>39</v>
      </c>
      <c r="C25" s="18" t="s">
        <v>36</v>
      </c>
      <c r="D25" s="185" t="str">
        <f>Seguimiento!F32</f>
        <v>No Cursada</v>
      </c>
      <c r="E25" s="220" t="str">
        <f t="shared" si="0"/>
        <v/>
      </c>
      <c r="F25" s="241"/>
      <c r="G25" s="229"/>
      <c r="H25" s="228"/>
      <c r="I25" s="229"/>
      <c r="J25" s="228"/>
      <c r="K25" s="229"/>
      <c r="L25" s="228"/>
      <c r="M25" s="229"/>
      <c r="N25" s="228"/>
      <c r="O25" s="229"/>
      <c r="P25" s="228"/>
      <c r="Q25" s="229"/>
    </row>
    <row r="26" spans="1:17" ht="26.1" customHeight="1" x14ac:dyDescent="0.25">
      <c r="A26" s="167">
        <v>21</v>
      </c>
      <c r="B26" s="168" t="s">
        <v>39</v>
      </c>
      <c r="C26" s="169" t="s">
        <v>40</v>
      </c>
      <c r="D26" s="185" t="str">
        <f>Seguimiento!F33</f>
        <v>No Cursada</v>
      </c>
      <c r="E26" s="222" t="str">
        <f t="shared" si="0"/>
        <v/>
      </c>
      <c r="F26" s="243"/>
      <c r="G26" s="233"/>
      <c r="H26" s="232"/>
      <c r="I26" s="233"/>
      <c r="J26" s="232"/>
      <c r="K26" s="233"/>
      <c r="L26" s="232"/>
      <c r="M26" s="233"/>
      <c r="N26" s="232"/>
      <c r="O26" s="233"/>
      <c r="P26" s="232"/>
      <c r="Q26" s="233"/>
    </row>
    <row r="27" spans="1:17" ht="26.1" customHeight="1" x14ac:dyDescent="0.25">
      <c r="A27" s="40">
        <v>22</v>
      </c>
      <c r="B27" s="22" t="s">
        <v>39</v>
      </c>
      <c r="C27" s="18" t="s">
        <v>41</v>
      </c>
      <c r="D27" s="185" t="str">
        <f>Seguimiento!F34</f>
        <v>No Cursada</v>
      </c>
      <c r="E27" s="220" t="str">
        <f t="shared" si="0"/>
        <v/>
      </c>
      <c r="F27" s="241"/>
      <c r="G27" s="229"/>
      <c r="H27" s="228"/>
      <c r="I27" s="229"/>
      <c r="J27" s="228"/>
      <c r="K27" s="229"/>
      <c r="L27" s="228"/>
      <c r="M27" s="229"/>
      <c r="N27" s="228"/>
      <c r="O27" s="229"/>
      <c r="P27" s="228"/>
      <c r="Q27" s="229"/>
    </row>
    <row r="28" spans="1:17" ht="26.1" customHeight="1" x14ac:dyDescent="0.25">
      <c r="A28" s="167">
        <v>23</v>
      </c>
      <c r="B28" s="168" t="s">
        <v>39</v>
      </c>
      <c r="C28" s="169" t="s">
        <v>44</v>
      </c>
      <c r="D28" s="185" t="str">
        <f>Seguimiento!F35</f>
        <v>No Cursada</v>
      </c>
      <c r="E28" s="222" t="str">
        <f t="shared" si="0"/>
        <v/>
      </c>
      <c r="F28" s="243"/>
      <c r="G28" s="233"/>
      <c r="H28" s="232"/>
      <c r="I28" s="233"/>
      <c r="J28" s="232"/>
      <c r="K28" s="233"/>
      <c r="L28" s="232"/>
      <c r="M28" s="233"/>
      <c r="N28" s="232"/>
      <c r="O28" s="233"/>
      <c r="P28" s="232"/>
      <c r="Q28" s="233"/>
    </row>
    <row r="29" spans="1:17" ht="26.1" customHeight="1" x14ac:dyDescent="0.25">
      <c r="A29" s="40">
        <v>24</v>
      </c>
      <c r="B29" s="22" t="s">
        <v>39</v>
      </c>
      <c r="C29" s="18" t="s">
        <v>46</v>
      </c>
      <c r="D29" s="185" t="str">
        <f>Seguimiento!F36</f>
        <v>No Cursada</v>
      </c>
      <c r="E29" s="220" t="str">
        <f t="shared" si="0"/>
        <v/>
      </c>
      <c r="F29" s="241"/>
      <c r="G29" s="229"/>
      <c r="H29" s="228"/>
      <c r="I29" s="229"/>
      <c r="J29" s="228"/>
      <c r="K29" s="229"/>
      <c r="L29" s="228"/>
      <c r="M29" s="229"/>
      <c r="N29" s="228"/>
      <c r="O29" s="229"/>
      <c r="P29" s="228"/>
      <c r="Q29" s="229"/>
    </row>
    <row r="30" spans="1:17" ht="26.1" customHeight="1" thickBot="1" x14ac:dyDescent="0.3">
      <c r="A30" s="167">
        <v>41</v>
      </c>
      <c r="B30" s="168" t="s">
        <v>39</v>
      </c>
      <c r="C30" s="169" t="s">
        <v>49</v>
      </c>
      <c r="D30" s="185" t="str">
        <f>Seguimiento!F37</f>
        <v>No Cursada</v>
      </c>
      <c r="E30" s="222" t="str">
        <f t="shared" si="0"/>
        <v/>
      </c>
      <c r="F30" s="243"/>
      <c r="G30" s="233"/>
      <c r="H30" s="232"/>
      <c r="I30" s="233"/>
      <c r="J30" s="232"/>
      <c r="K30" s="233"/>
      <c r="L30" s="232"/>
      <c r="M30" s="233"/>
      <c r="N30" s="232"/>
      <c r="O30" s="233"/>
      <c r="P30" s="232"/>
      <c r="Q30" s="233"/>
    </row>
    <row r="31" spans="1:17" ht="26.1" customHeight="1" x14ac:dyDescent="0.25">
      <c r="A31" s="55">
        <v>25</v>
      </c>
      <c r="B31" s="31" t="s">
        <v>50</v>
      </c>
      <c r="C31" s="32" t="s">
        <v>51</v>
      </c>
      <c r="D31" s="188" t="str">
        <f>Seguimiento!F38</f>
        <v>No Cursada</v>
      </c>
      <c r="E31" s="59" t="str">
        <f t="shared" si="0"/>
        <v/>
      </c>
      <c r="F31" s="56"/>
      <c r="G31" s="57"/>
      <c r="H31" s="58"/>
      <c r="I31" s="57"/>
      <c r="J31" s="58"/>
      <c r="K31" s="57"/>
      <c r="L31" s="58"/>
      <c r="M31" s="57"/>
      <c r="N31" s="58"/>
      <c r="O31" s="57"/>
      <c r="P31" s="58"/>
      <c r="Q31" s="57"/>
    </row>
    <row r="32" spans="1:17" ht="26.1" customHeight="1" x14ac:dyDescent="0.25">
      <c r="A32" s="71">
        <v>26</v>
      </c>
      <c r="B32" s="72" t="s">
        <v>50</v>
      </c>
      <c r="C32" s="73" t="s">
        <v>54</v>
      </c>
      <c r="D32" s="185" t="str">
        <f>Seguimiento!F39</f>
        <v>No Cursada</v>
      </c>
      <c r="E32" s="223" t="str">
        <f t="shared" si="0"/>
        <v/>
      </c>
      <c r="F32" s="244"/>
      <c r="G32" s="235"/>
      <c r="H32" s="234"/>
      <c r="I32" s="235"/>
      <c r="J32" s="234"/>
      <c r="K32" s="235"/>
      <c r="L32" s="234"/>
      <c r="M32" s="235"/>
      <c r="N32" s="234"/>
      <c r="O32" s="235"/>
      <c r="P32" s="234"/>
      <c r="Q32" s="235"/>
    </row>
    <row r="33" spans="1:17" ht="26.1" customHeight="1" x14ac:dyDescent="0.25">
      <c r="A33" s="40">
        <v>27</v>
      </c>
      <c r="B33" s="23" t="s">
        <v>50</v>
      </c>
      <c r="C33" s="18" t="s">
        <v>56</v>
      </c>
      <c r="D33" s="185" t="str">
        <f>Seguimiento!F40</f>
        <v>No Cursada</v>
      </c>
      <c r="E33" s="220" t="str">
        <f t="shared" si="0"/>
        <v/>
      </c>
      <c r="F33" s="241"/>
      <c r="G33" s="229"/>
      <c r="H33" s="228"/>
      <c r="I33" s="229"/>
      <c r="J33" s="228"/>
      <c r="K33" s="229"/>
      <c r="L33" s="228"/>
      <c r="M33" s="229"/>
      <c r="N33" s="228"/>
      <c r="O33" s="229"/>
      <c r="P33" s="228"/>
      <c r="Q33" s="229"/>
    </row>
    <row r="34" spans="1:17" ht="26.1" customHeight="1" x14ac:dyDescent="0.25">
      <c r="A34" s="71">
        <v>28</v>
      </c>
      <c r="B34" s="72" t="s">
        <v>50</v>
      </c>
      <c r="C34" s="73" t="s">
        <v>58</v>
      </c>
      <c r="D34" s="185" t="str">
        <f>Seguimiento!F41</f>
        <v>No Cursada</v>
      </c>
      <c r="E34" s="223" t="str">
        <f t="shared" si="0"/>
        <v/>
      </c>
      <c r="F34" s="244"/>
      <c r="G34" s="235"/>
      <c r="H34" s="234"/>
      <c r="I34" s="235"/>
      <c r="J34" s="234"/>
      <c r="K34" s="235"/>
      <c r="L34" s="234"/>
      <c r="M34" s="235"/>
      <c r="N34" s="234"/>
      <c r="O34" s="235"/>
      <c r="P34" s="234"/>
      <c r="Q34" s="235"/>
    </row>
    <row r="35" spans="1:17" ht="26.1" customHeight="1" x14ac:dyDescent="0.25">
      <c r="A35" s="40">
        <v>29</v>
      </c>
      <c r="B35" s="23" t="s">
        <v>50</v>
      </c>
      <c r="C35" s="18" t="s">
        <v>60</v>
      </c>
      <c r="D35" s="185" t="str">
        <f>Seguimiento!F42</f>
        <v>No Cursada</v>
      </c>
      <c r="E35" s="220" t="str">
        <f t="shared" si="0"/>
        <v/>
      </c>
      <c r="F35" s="241"/>
      <c r="G35" s="229"/>
      <c r="H35" s="228"/>
      <c r="I35" s="229"/>
      <c r="J35" s="228"/>
      <c r="K35" s="229"/>
      <c r="L35" s="228"/>
      <c r="M35" s="229"/>
      <c r="N35" s="228"/>
      <c r="O35" s="229"/>
      <c r="P35" s="228"/>
      <c r="Q35" s="229"/>
    </row>
    <row r="36" spans="1:17" ht="26.1" customHeight="1" x14ac:dyDescent="0.25">
      <c r="A36" s="71">
        <v>30</v>
      </c>
      <c r="B36" s="72" t="s">
        <v>50</v>
      </c>
      <c r="C36" s="73" t="s">
        <v>63</v>
      </c>
      <c r="D36" s="185" t="str">
        <f>Seguimiento!F43</f>
        <v>No Cursada</v>
      </c>
      <c r="E36" s="223" t="str">
        <f t="shared" si="0"/>
        <v/>
      </c>
      <c r="F36" s="244"/>
      <c r="G36" s="235"/>
      <c r="H36" s="234"/>
      <c r="I36" s="235"/>
      <c r="J36" s="234"/>
      <c r="K36" s="235"/>
      <c r="L36" s="234"/>
      <c r="M36" s="235"/>
      <c r="N36" s="234"/>
      <c r="O36" s="235"/>
      <c r="P36" s="234"/>
      <c r="Q36" s="235"/>
    </row>
    <row r="37" spans="1:17" ht="26.1" customHeight="1" x14ac:dyDescent="0.25">
      <c r="A37" s="40">
        <v>31</v>
      </c>
      <c r="B37" s="23" t="s">
        <v>50</v>
      </c>
      <c r="C37" s="18" t="s">
        <v>65</v>
      </c>
      <c r="D37" s="185" t="str">
        <f>Seguimiento!F44</f>
        <v>No Cursada</v>
      </c>
      <c r="E37" s="220" t="str">
        <f t="shared" si="0"/>
        <v/>
      </c>
      <c r="F37" s="241"/>
      <c r="G37" s="229"/>
      <c r="H37" s="228"/>
      <c r="I37" s="229"/>
      <c r="J37" s="228"/>
      <c r="K37" s="229"/>
      <c r="L37" s="228"/>
      <c r="M37" s="229"/>
      <c r="N37" s="228"/>
      <c r="O37" s="229"/>
      <c r="P37" s="228"/>
      <c r="Q37" s="229"/>
    </row>
    <row r="38" spans="1:17" ht="26.1" customHeight="1" thickBot="1" x14ac:dyDescent="0.3">
      <c r="A38" s="71">
        <v>32</v>
      </c>
      <c r="B38" s="72" t="s">
        <v>50</v>
      </c>
      <c r="C38" s="73" t="s">
        <v>66</v>
      </c>
      <c r="D38" s="185" t="str">
        <f>Seguimiento!F45</f>
        <v>No Cursada</v>
      </c>
      <c r="E38" s="223" t="str">
        <f t="shared" si="0"/>
        <v/>
      </c>
      <c r="F38" s="244"/>
      <c r="G38" s="235"/>
      <c r="H38" s="234"/>
      <c r="I38" s="235"/>
      <c r="J38" s="234"/>
      <c r="K38" s="235"/>
      <c r="L38" s="234"/>
      <c r="M38" s="235"/>
      <c r="N38" s="234"/>
      <c r="O38" s="235"/>
      <c r="P38" s="234"/>
      <c r="Q38" s="235"/>
    </row>
    <row r="39" spans="1:17" ht="26.1" customHeight="1" x14ac:dyDescent="0.25">
      <c r="A39" s="60">
        <v>33</v>
      </c>
      <c r="B39" s="33" t="s">
        <v>68</v>
      </c>
      <c r="C39" s="34" t="s">
        <v>69</v>
      </c>
      <c r="D39" s="189" t="str">
        <f>Seguimiento!F46</f>
        <v>No Cursada</v>
      </c>
      <c r="E39" s="64" t="str">
        <f t="shared" si="0"/>
        <v/>
      </c>
      <c r="F39" s="61"/>
      <c r="G39" s="62"/>
      <c r="H39" s="63"/>
      <c r="I39" s="62"/>
      <c r="J39" s="63"/>
      <c r="K39" s="62"/>
      <c r="L39" s="63"/>
      <c r="M39" s="62"/>
      <c r="N39" s="63"/>
      <c r="O39" s="62"/>
      <c r="P39" s="63"/>
      <c r="Q39" s="62"/>
    </row>
    <row r="40" spans="1:17" ht="26.1" customHeight="1" x14ac:dyDescent="0.25">
      <c r="A40" s="74">
        <v>34</v>
      </c>
      <c r="B40" s="75" t="s">
        <v>68</v>
      </c>
      <c r="C40" s="76" t="s">
        <v>72</v>
      </c>
      <c r="D40" s="185" t="str">
        <f>Seguimiento!F47</f>
        <v>No Cursada</v>
      </c>
      <c r="E40" s="224" t="str">
        <f t="shared" si="0"/>
        <v/>
      </c>
      <c r="F40" s="245"/>
      <c r="G40" s="237"/>
      <c r="H40" s="236"/>
      <c r="I40" s="237"/>
      <c r="J40" s="236"/>
      <c r="K40" s="237"/>
      <c r="L40" s="236"/>
      <c r="M40" s="237"/>
      <c r="N40" s="236"/>
      <c r="O40" s="237"/>
      <c r="P40" s="236"/>
      <c r="Q40" s="237"/>
    </row>
    <row r="41" spans="1:17" ht="26.1" customHeight="1" x14ac:dyDescent="0.25">
      <c r="A41" s="40">
        <v>35</v>
      </c>
      <c r="B41" s="24" t="s">
        <v>68</v>
      </c>
      <c r="C41" s="18" t="s">
        <v>75</v>
      </c>
      <c r="D41" s="185" t="str">
        <f>Seguimiento!F48</f>
        <v>No Cursada</v>
      </c>
      <c r="E41" s="220" t="str">
        <f t="shared" si="0"/>
        <v/>
      </c>
      <c r="F41" s="241"/>
      <c r="G41" s="229"/>
      <c r="H41" s="228"/>
      <c r="I41" s="229"/>
      <c r="J41" s="228"/>
      <c r="K41" s="229"/>
      <c r="L41" s="228"/>
      <c r="M41" s="229"/>
      <c r="N41" s="228"/>
      <c r="O41" s="229"/>
      <c r="P41" s="228"/>
      <c r="Q41" s="229"/>
    </row>
    <row r="42" spans="1:17" ht="26.1" customHeight="1" x14ac:dyDescent="0.25">
      <c r="A42" s="74">
        <v>36</v>
      </c>
      <c r="B42" s="75" t="s">
        <v>68</v>
      </c>
      <c r="C42" s="76" t="s">
        <v>78</v>
      </c>
      <c r="D42" s="185" t="str">
        <f>Seguimiento!F49</f>
        <v>No Cursada</v>
      </c>
      <c r="E42" s="224" t="str">
        <f t="shared" si="0"/>
        <v/>
      </c>
      <c r="F42" s="245"/>
      <c r="G42" s="237"/>
      <c r="H42" s="236"/>
      <c r="I42" s="237"/>
      <c r="J42" s="236"/>
      <c r="K42" s="237"/>
      <c r="L42" s="236"/>
      <c r="M42" s="237"/>
      <c r="N42" s="236"/>
      <c r="O42" s="237"/>
      <c r="P42" s="236"/>
      <c r="Q42" s="237"/>
    </row>
    <row r="43" spans="1:17" ht="26.1" customHeight="1" x14ac:dyDescent="0.25">
      <c r="A43" s="40">
        <v>37</v>
      </c>
      <c r="B43" s="24" t="s">
        <v>68</v>
      </c>
      <c r="C43" s="18" t="s">
        <v>80</v>
      </c>
      <c r="D43" s="185" t="str">
        <f>Seguimiento!F50</f>
        <v>No Cursada</v>
      </c>
      <c r="E43" s="220" t="str">
        <f t="shared" si="0"/>
        <v/>
      </c>
      <c r="F43" s="241"/>
      <c r="G43" s="229"/>
      <c r="H43" s="228"/>
      <c r="I43" s="229"/>
      <c r="J43" s="228"/>
      <c r="K43" s="229"/>
      <c r="L43" s="228"/>
      <c r="M43" s="229"/>
      <c r="N43" s="228"/>
      <c r="O43" s="229"/>
      <c r="P43" s="228"/>
      <c r="Q43" s="229"/>
    </row>
    <row r="44" spans="1:17" ht="26.1" customHeight="1" x14ac:dyDescent="0.25">
      <c r="A44" s="74">
        <v>38</v>
      </c>
      <c r="B44" s="75" t="s">
        <v>68</v>
      </c>
      <c r="C44" s="76" t="s">
        <v>82</v>
      </c>
      <c r="D44" s="185" t="str">
        <f>Seguimiento!F51</f>
        <v>No Cursada</v>
      </c>
      <c r="E44" s="224" t="str">
        <f t="shared" si="0"/>
        <v/>
      </c>
      <c r="F44" s="245"/>
      <c r="G44" s="237"/>
      <c r="H44" s="236"/>
      <c r="I44" s="237"/>
      <c r="J44" s="236"/>
      <c r="K44" s="237"/>
      <c r="L44" s="236"/>
      <c r="M44" s="237"/>
      <c r="N44" s="236"/>
      <c r="O44" s="237"/>
      <c r="P44" s="236"/>
      <c r="Q44" s="237"/>
    </row>
    <row r="45" spans="1:17" ht="26.1" customHeight="1" thickBot="1" x14ac:dyDescent="0.3">
      <c r="A45" s="40">
        <v>39</v>
      </c>
      <c r="B45" s="24" t="s">
        <v>68</v>
      </c>
      <c r="C45" s="18" t="s">
        <v>84</v>
      </c>
      <c r="D45" s="185" t="str">
        <f>Seguimiento!F52</f>
        <v>No Cursada</v>
      </c>
      <c r="E45" s="220" t="str">
        <f t="shared" si="0"/>
        <v/>
      </c>
      <c r="F45" s="241"/>
      <c r="G45" s="229"/>
      <c r="H45" s="228"/>
      <c r="I45" s="229"/>
      <c r="J45" s="228"/>
      <c r="K45" s="229"/>
      <c r="L45" s="228"/>
      <c r="M45" s="229"/>
      <c r="N45" s="228"/>
      <c r="O45" s="229"/>
      <c r="P45" s="228"/>
      <c r="Q45" s="229"/>
    </row>
    <row r="46" spans="1:17" ht="26.1" customHeight="1" x14ac:dyDescent="0.25">
      <c r="A46" s="77">
        <v>42</v>
      </c>
      <c r="B46" s="78" t="s">
        <v>152</v>
      </c>
      <c r="C46" s="79" t="s">
        <v>153</v>
      </c>
      <c r="D46" s="190" t="str">
        <f>Seguimiento!F53</f>
        <v>No Cursada</v>
      </c>
      <c r="E46" s="83" t="str">
        <f t="shared" si="0"/>
        <v/>
      </c>
      <c r="F46" s="80"/>
      <c r="G46" s="81"/>
      <c r="H46" s="82"/>
      <c r="I46" s="81"/>
      <c r="J46" s="82"/>
      <c r="K46" s="81"/>
      <c r="L46" s="82"/>
      <c r="M46" s="81"/>
      <c r="N46" s="82"/>
      <c r="O46" s="81"/>
      <c r="P46" s="82"/>
      <c r="Q46" s="81"/>
    </row>
    <row r="47" spans="1:17" ht="26.1" customHeight="1" x14ac:dyDescent="0.25">
      <c r="A47" s="87">
        <v>43</v>
      </c>
      <c r="B47" s="88" t="s">
        <v>152</v>
      </c>
      <c r="C47" s="89" t="s">
        <v>154</v>
      </c>
      <c r="D47" s="191" t="str">
        <f>Seguimiento!F54</f>
        <v>No Cursada</v>
      </c>
      <c r="E47" s="220" t="str">
        <f t="shared" si="0"/>
        <v/>
      </c>
      <c r="F47" s="241"/>
      <c r="G47" s="229"/>
      <c r="H47" s="228"/>
      <c r="I47" s="229"/>
      <c r="J47" s="228"/>
      <c r="K47" s="229"/>
      <c r="L47" s="228"/>
      <c r="M47" s="229"/>
      <c r="N47" s="228"/>
      <c r="O47" s="229"/>
      <c r="P47" s="228"/>
      <c r="Q47" s="229"/>
    </row>
    <row r="48" spans="1:17" ht="26.1" customHeight="1" x14ac:dyDescent="0.25">
      <c r="A48" s="84">
        <v>44</v>
      </c>
      <c r="B48" s="85" t="s">
        <v>152</v>
      </c>
      <c r="C48" s="86" t="s">
        <v>155</v>
      </c>
      <c r="D48" s="191" t="str">
        <f>Seguimiento!F55</f>
        <v>No Cursada</v>
      </c>
      <c r="E48" s="225" t="str">
        <f t="shared" si="0"/>
        <v/>
      </c>
      <c r="F48" s="246"/>
      <c r="G48" s="239"/>
      <c r="H48" s="238"/>
      <c r="I48" s="239"/>
      <c r="J48" s="238"/>
      <c r="K48" s="239"/>
      <c r="L48" s="238"/>
      <c r="M48" s="239"/>
      <c r="N48" s="238"/>
      <c r="O48" s="239"/>
      <c r="P48" s="238"/>
      <c r="Q48" s="239"/>
    </row>
    <row r="49" spans="1:17" ht="26.1" customHeight="1" x14ac:dyDescent="0.25">
      <c r="A49" s="87">
        <v>45</v>
      </c>
      <c r="B49" s="88" t="s">
        <v>152</v>
      </c>
      <c r="C49" s="89" t="s">
        <v>156</v>
      </c>
      <c r="D49" s="191" t="str">
        <f>Seguimiento!F56</f>
        <v>No Cursada</v>
      </c>
      <c r="E49" s="220" t="str">
        <f t="shared" si="0"/>
        <v/>
      </c>
      <c r="F49" s="241"/>
      <c r="G49" s="229"/>
      <c r="H49" s="228"/>
      <c r="I49" s="229"/>
      <c r="J49" s="228"/>
      <c r="K49" s="229"/>
      <c r="L49" s="228"/>
      <c r="M49" s="229"/>
      <c r="N49" s="228"/>
      <c r="O49" s="229"/>
      <c r="P49" s="228"/>
      <c r="Q49" s="229"/>
    </row>
    <row r="50" spans="1:17" ht="26.1" customHeight="1" x14ac:dyDescent="0.25">
      <c r="A50" s="84">
        <v>46</v>
      </c>
      <c r="B50" s="85" t="s">
        <v>152</v>
      </c>
      <c r="C50" s="86" t="s">
        <v>157</v>
      </c>
      <c r="D50" s="191" t="str">
        <f>Seguimiento!F57</f>
        <v>No Cursada</v>
      </c>
      <c r="E50" s="225" t="str">
        <f t="shared" si="0"/>
        <v/>
      </c>
      <c r="F50" s="246"/>
      <c r="G50" s="239"/>
      <c r="H50" s="238"/>
      <c r="I50" s="239"/>
      <c r="J50" s="238"/>
      <c r="K50" s="239"/>
      <c r="L50" s="238"/>
      <c r="M50" s="239"/>
      <c r="N50" s="238"/>
      <c r="O50" s="239"/>
      <c r="P50" s="238"/>
      <c r="Q50" s="239"/>
    </row>
    <row r="51" spans="1:17" ht="26.1" customHeight="1" x14ac:dyDescent="0.25">
      <c r="A51" s="87">
        <v>47</v>
      </c>
      <c r="B51" s="88" t="s">
        <v>152</v>
      </c>
      <c r="C51" s="89" t="s">
        <v>158</v>
      </c>
      <c r="D51" s="185" t="str">
        <f>Seguimiento!F58</f>
        <v>No Cursada</v>
      </c>
      <c r="E51" s="220" t="str">
        <f t="shared" si="0"/>
        <v/>
      </c>
      <c r="F51" s="247"/>
      <c r="G51" s="229"/>
      <c r="H51" s="228"/>
      <c r="I51" s="229"/>
      <c r="J51" s="228"/>
      <c r="K51" s="229"/>
      <c r="L51" s="228"/>
      <c r="M51" s="229"/>
      <c r="N51" s="228"/>
      <c r="O51" s="229"/>
      <c r="P51" s="228"/>
      <c r="Q51" s="229"/>
    </row>
    <row r="52" spans="1:17" ht="26.1" customHeight="1" x14ac:dyDescent="0.25">
      <c r="A52" s="84">
        <v>48</v>
      </c>
      <c r="B52" s="85" t="s">
        <v>152</v>
      </c>
      <c r="C52" s="86" t="s">
        <v>159</v>
      </c>
      <c r="D52" s="185" t="str">
        <f>Seguimiento!F59</f>
        <v>No Cursada</v>
      </c>
      <c r="E52" s="225" t="str">
        <f t="shared" si="0"/>
        <v/>
      </c>
      <c r="F52" s="248"/>
      <c r="G52" s="239"/>
      <c r="H52" s="238"/>
      <c r="I52" s="239"/>
      <c r="J52" s="238"/>
      <c r="K52" s="239"/>
      <c r="L52" s="238"/>
      <c r="M52" s="239"/>
      <c r="N52" s="238"/>
      <c r="O52" s="239"/>
      <c r="P52" s="238"/>
      <c r="Q52" s="239"/>
    </row>
    <row r="53" spans="1:17" ht="26.1" customHeight="1" x14ac:dyDescent="0.25">
      <c r="A53" s="87">
        <v>49</v>
      </c>
      <c r="B53" s="88" t="s">
        <v>152</v>
      </c>
      <c r="C53" s="89" t="s">
        <v>160</v>
      </c>
      <c r="D53" s="185" t="str">
        <f>Seguimiento!F60</f>
        <v>No Cursada</v>
      </c>
      <c r="E53" s="220" t="str">
        <f t="shared" si="0"/>
        <v/>
      </c>
      <c r="F53" s="247"/>
      <c r="G53" s="229"/>
      <c r="H53" s="228"/>
      <c r="I53" s="229"/>
      <c r="J53" s="228"/>
      <c r="K53" s="229"/>
      <c r="L53" s="228"/>
      <c r="M53" s="229"/>
      <c r="N53" s="228"/>
      <c r="O53" s="229"/>
      <c r="P53" s="228"/>
      <c r="Q53" s="229"/>
    </row>
    <row r="54" spans="1:17" ht="26.1" customHeight="1" x14ac:dyDescent="0.25">
      <c r="A54" s="84">
        <v>50</v>
      </c>
      <c r="B54" s="85" t="s">
        <v>152</v>
      </c>
      <c r="C54" s="86" t="s">
        <v>161</v>
      </c>
      <c r="D54" s="185" t="str">
        <f>Seguimiento!F61</f>
        <v>No Cursada</v>
      </c>
      <c r="E54" s="225" t="str">
        <f t="shared" si="0"/>
        <v/>
      </c>
      <c r="F54" s="248"/>
      <c r="G54" s="239"/>
      <c r="H54" s="238"/>
      <c r="I54" s="239"/>
      <c r="J54" s="238"/>
      <c r="K54" s="239"/>
      <c r="L54" s="238"/>
      <c r="M54" s="239"/>
      <c r="N54" s="238"/>
      <c r="O54" s="239"/>
      <c r="P54" s="238"/>
      <c r="Q54" s="239"/>
    </row>
    <row r="55" spans="1:17" ht="26.1" customHeight="1" x14ac:dyDescent="0.25">
      <c r="A55" s="87">
        <v>51</v>
      </c>
      <c r="B55" s="88" t="s">
        <v>152</v>
      </c>
      <c r="C55" s="89" t="s">
        <v>162</v>
      </c>
      <c r="D55" s="185" t="str">
        <f>Seguimiento!F62</f>
        <v>No Cursada</v>
      </c>
      <c r="E55" s="220" t="str">
        <f t="shared" si="0"/>
        <v/>
      </c>
      <c r="F55" s="247"/>
      <c r="G55" s="229"/>
      <c r="H55" s="228"/>
      <c r="I55" s="229"/>
      <c r="J55" s="228"/>
      <c r="K55" s="229"/>
      <c r="L55" s="228"/>
      <c r="M55" s="229"/>
      <c r="N55" s="228"/>
      <c r="O55" s="229"/>
      <c r="P55" s="228"/>
      <c r="Q55" s="229"/>
    </row>
    <row r="56" spans="1:17" ht="26.1" customHeight="1" x14ac:dyDescent="0.25">
      <c r="A56" s="84">
        <v>52</v>
      </c>
      <c r="B56" s="85" t="s">
        <v>152</v>
      </c>
      <c r="C56" s="86" t="s">
        <v>163</v>
      </c>
      <c r="D56" s="185" t="str">
        <f>Seguimiento!F63</f>
        <v>No Cursada</v>
      </c>
      <c r="E56" s="225" t="str">
        <f t="shared" si="0"/>
        <v/>
      </c>
      <c r="F56" s="248"/>
      <c r="G56" s="239"/>
      <c r="H56" s="238"/>
      <c r="I56" s="239"/>
      <c r="J56" s="238"/>
      <c r="K56" s="239"/>
      <c r="L56" s="238"/>
      <c r="M56" s="239"/>
      <c r="N56" s="238"/>
      <c r="O56" s="239"/>
      <c r="P56" s="238"/>
      <c r="Q56" s="239"/>
    </row>
    <row r="57" spans="1:17" ht="26.1" customHeight="1" x14ac:dyDescent="0.25">
      <c r="A57" s="87">
        <v>53</v>
      </c>
      <c r="B57" s="88" t="s">
        <v>152</v>
      </c>
      <c r="C57" s="89" t="s">
        <v>187</v>
      </c>
      <c r="D57" s="185" t="str">
        <f>Seguimiento!F64</f>
        <v>No Cursada</v>
      </c>
      <c r="E57" s="220" t="str">
        <f t="shared" si="0"/>
        <v/>
      </c>
      <c r="F57" s="247"/>
      <c r="G57" s="229"/>
      <c r="H57" s="228"/>
      <c r="I57" s="229"/>
      <c r="J57" s="228"/>
      <c r="K57" s="229"/>
      <c r="L57" s="228"/>
      <c r="M57" s="229"/>
      <c r="N57" s="228"/>
      <c r="O57" s="229"/>
      <c r="P57" s="228"/>
      <c r="Q57" s="229"/>
    </row>
    <row r="58" spans="1:17" ht="26.1" customHeight="1" thickBot="1" x14ac:dyDescent="0.3">
      <c r="A58" s="196">
        <v>54</v>
      </c>
      <c r="B58" s="165" t="s">
        <v>152</v>
      </c>
      <c r="C58" s="166" t="s">
        <v>173</v>
      </c>
      <c r="D58" s="197" t="str">
        <f>Seguimiento!F65</f>
        <v>No Cursada</v>
      </c>
      <c r="E58" s="201" t="str">
        <f t="shared" si="0"/>
        <v/>
      </c>
      <c r="F58" s="198"/>
      <c r="G58" s="199"/>
      <c r="H58" s="200"/>
      <c r="I58" s="199"/>
      <c r="J58" s="200"/>
      <c r="K58" s="199"/>
      <c r="L58" s="200"/>
      <c r="M58" s="199"/>
      <c r="N58" s="200"/>
      <c r="O58" s="199"/>
      <c r="P58" s="200"/>
      <c r="Q58" s="199"/>
    </row>
  </sheetData>
  <sheetProtection sheet="1" objects="1" scenarios="1"/>
  <mergeCells count="2">
    <mergeCell ref="A1:M1"/>
    <mergeCell ref="A2:M2"/>
  </mergeCells>
  <conditionalFormatting sqref="D5:D45">
    <cfRule type="containsText" dxfId="13" priority="9" operator="containsText" text="Aprobada">
      <formula>NOT(ISERROR(SEARCH("Aprobada",D5)))</formula>
    </cfRule>
    <cfRule type="containsText" dxfId="12" priority="10" operator="containsText" text="Regular">
      <formula>NOT(ISERROR(SEARCH("Regular",D5)))</formula>
    </cfRule>
    <cfRule type="containsText" dxfId="11" priority="11" operator="containsText" text="Cursando">
      <formula>NOT(ISERROR(SEARCH("Cursando",D5)))</formula>
    </cfRule>
    <cfRule type="containsText" dxfId="10" priority="12" operator="containsText" text="No Cursada">
      <formula>NOT(ISERROR(SEARCH("No Cursada",D5)))</formula>
    </cfRule>
  </conditionalFormatting>
  <conditionalFormatting sqref="D5:D58">
    <cfRule type="containsText" dxfId="9" priority="13" operator="containsText" text="No Cursada">
      <formula>NOT(ISERROR(SEARCH("No Cursada",D5)))</formula>
    </cfRule>
    <cfRule type="containsText" dxfId="8" priority="14" operator="containsText" text="Cursando">
      <formula>NOT(ISERROR(SEARCH("Cursando",D5)))</formula>
    </cfRule>
    <cfRule type="containsText" dxfId="7" priority="15" operator="containsText" text="Regular">
      <formula>NOT(ISERROR(SEARCH("Regular",D5)))</formula>
    </cfRule>
    <cfRule type="containsText" dxfId="6" priority="16" operator="containsText" text="Aprobada">
      <formula>NOT(ISERROR(SEARCH("Aprobada",D5)))</formula>
    </cfRule>
  </conditionalFormatting>
  <conditionalFormatting sqref="H5:H45">
    <cfRule type="cellIs" dxfId="5" priority="3" operator="greaterThanOrEqual">
      <formula>6</formula>
    </cfRule>
    <cfRule type="cellIs" dxfId="4" priority="4" operator="between">
      <formula>1</formula>
      <formula>5</formula>
    </cfRule>
  </conditionalFormatting>
  <conditionalFormatting sqref="J5:J45">
    <cfRule type="cellIs" dxfId="3" priority="5" operator="greaterThanOrEqual">
      <formula>6</formula>
    </cfRule>
    <cfRule type="cellIs" dxfId="2" priority="6" operator="between">
      <formula>1</formula>
      <formula>5</formula>
    </cfRule>
  </conditionalFormatting>
  <conditionalFormatting sqref="L5:L45">
    <cfRule type="cellIs" dxfId="1" priority="7" operator="greaterThanOrEqual">
      <formula>6</formula>
    </cfRule>
    <cfRule type="cellIs" dxfId="0" priority="8" operator="between">
      <formula>1</formula>
      <formula>5</formula>
    </cfRule>
  </conditionalFormatting>
  <dataValidations count="1">
    <dataValidation type="whole" allowBlank="1" showInputMessage="1" showErrorMessage="1" errorTitle="Nota inválida" error="La nota debe ser un número entre 1 y 10." promptTitle="Nota de Final" prompt="Ingrese la nota del examen final (1-10). Se aprueba con 6." sqref="H5:H45 L5:L45 J5:J45" xr:uid="{147E68F6-8A30-46C0-A4F8-512EEDA1E16E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307F-1F87-4824-BAE6-79B0BFC558FB}">
  <dimension ref="A1:W30"/>
  <sheetViews>
    <sheetView workbookViewId="0">
      <selection activeCell="M1" sqref="M1:W30"/>
    </sheetView>
  </sheetViews>
  <sheetFormatPr baseColWidth="10" defaultRowHeight="15" x14ac:dyDescent="0.25"/>
  <cols>
    <col min="5" max="12" width="17.140625" customWidth="1"/>
  </cols>
  <sheetData>
    <row r="1" spans="1:23" ht="39.950000000000003" customHeight="1" x14ac:dyDescent="0.25">
      <c r="A1" s="250"/>
      <c r="B1" s="250"/>
      <c r="C1" s="250"/>
      <c r="D1" s="250"/>
      <c r="E1" s="259" t="s">
        <v>184</v>
      </c>
      <c r="F1" s="259"/>
      <c r="G1" s="259"/>
      <c r="H1" s="259"/>
      <c r="I1" s="259"/>
      <c r="J1" s="259"/>
      <c r="K1" s="259"/>
      <c r="L1" s="259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</row>
    <row r="2" spans="1:23" ht="24.95" customHeight="1" x14ac:dyDescent="0.25">
      <c r="A2" s="250"/>
      <c r="B2" s="250"/>
      <c r="C2" s="250"/>
      <c r="D2" s="250"/>
      <c r="E2" s="260" t="s">
        <v>185</v>
      </c>
      <c r="F2" s="260"/>
      <c r="G2" s="260"/>
      <c r="H2" s="260"/>
      <c r="I2" s="260"/>
      <c r="J2" s="260"/>
      <c r="K2" s="260"/>
      <c r="L2" s="26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</row>
    <row r="3" spans="1:23" ht="9.9499999999999993" customHeight="1" x14ac:dyDescent="0.25">
      <c r="A3" s="250"/>
      <c r="B3" s="250"/>
      <c r="C3" s="250"/>
      <c r="D3" s="250"/>
      <c r="E3" s="3"/>
      <c r="F3" s="3"/>
      <c r="G3" s="3"/>
      <c r="H3" s="3"/>
      <c r="I3" s="3"/>
      <c r="J3" s="3"/>
      <c r="K3" s="3"/>
      <c r="L3" s="3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</row>
    <row r="4" spans="1:23" ht="27.95" customHeight="1" x14ac:dyDescent="0.25">
      <c r="A4" s="250"/>
      <c r="B4" s="250"/>
      <c r="C4" s="250"/>
      <c r="D4" s="250"/>
      <c r="E4" s="251"/>
      <c r="F4" s="252"/>
      <c r="G4" s="252"/>
      <c r="H4" s="252"/>
      <c r="I4" s="252"/>
      <c r="J4" s="252"/>
      <c r="K4" s="252"/>
      <c r="L4" s="252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</row>
    <row r="5" spans="1:23" ht="21.95" customHeight="1" x14ac:dyDescent="0.25">
      <c r="A5" s="250"/>
      <c r="B5" s="250"/>
      <c r="C5" s="250"/>
      <c r="D5" s="250"/>
      <c r="E5" s="252"/>
      <c r="F5" s="252"/>
      <c r="G5" s="252"/>
      <c r="H5" s="252"/>
      <c r="I5" s="252"/>
      <c r="J5" s="252"/>
      <c r="K5" s="252"/>
      <c r="L5" s="252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</row>
    <row r="6" spans="1:23" ht="21.95" customHeight="1" x14ac:dyDescent="0.25">
      <c r="A6" s="250"/>
      <c r="B6" s="250"/>
      <c r="C6" s="250"/>
      <c r="D6" s="250"/>
      <c r="E6" s="252"/>
      <c r="F6" s="252"/>
      <c r="G6" s="252"/>
      <c r="H6" s="252"/>
      <c r="I6" s="252"/>
      <c r="J6" s="252"/>
      <c r="K6" s="252"/>
      <c r="L6" s="252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</row>
    <row r="7" spans="1:23" ht="21.95" customHeight="1" x14ac:dyDescent="0.25">
      <c r="A7" s="250"/>
      <c r="B7" s="250"/>
      <c r="C7" s="250"/>
      <c r="D7" s="250"/>
      <c r="E7" s="252"/>
      <c r="F7" s="252"/>
      <c r="G7" s="252"/>
      <c r="H7" s="252"/>
      <c r="I7" s="252"/>
      <c r="J7" s="252"/>
      <c r="K7" s="252"/>
      <c r="L7" s="252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</row>
    <row r="8" spans="1:23" ht="21.95" customHeight="1" x14ac:dyDescent="0.25">
      <c r="A8" s="250"/>
      <c r="B8" s="250"/>
      <c r="C8" s="250"/>
      <c r="D8" s="250"/>
      <c r="E8" s="252"/>
      <c r="F8" s="252"/>
      <c r="G8" s="252"/>
      <c r="H8" s="252"/>
      <c r="I8" s="252"/>
      <c r="J8" s="252"/>
      <c r="K8" s="252"/>
      <c r="L8" s="252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</row>
    <row r="9" spans="1:23" ht="21.95" customHeight="1" x14ac:dyDescent="0.25">
      <c r="A9" s="250"/>
      <c r="B9" s="250"/>
      <c r="C9" s="250"/>
      <c r="D9" s="250"/>
      <c r="E9" s="252"/>
      <c r="F9" s="252"/>
      <c r="G9" s="252"/>
      <c r="H9" s="252"/>
      <c r="I9" s="252"/>
      <c r="J9" s="252"/>
      <c r="K9" s="252"/>
      <c r="L9" s="252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</row>
    <row r="10" spans="1:23" ht="21.95" customHeight="1" x14ac:dyDescent="0.25">
      <c r="A10" s="250"/>
      <c r="B10" s="250"/>
      <c r="C10" s="250"/>
      <c r="D10" s="250"/>
      <c r="E10" s="252"/>
      <c r="F10" s="252"/>
      <c r="G10" s="252"/>
      <c r="H10" s="252"/>
      <c r="I10" s="252"/>
      <c r="J10" s="252"/>
      <c r="K10" s="252"/>
      <c r="L10" s="252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</row>
    <row r="11" spans="1:23" ht="21.95" customHeight="1" x14ac:dyDescent="0.25">
      <c r="A11" s="250"/>
      <c r="B11" s="250"/>
      <c r="C11" s="250"/>
      <c r="D11" s="250"/>
      <c r="E11" s="252"/>
      <c r="F11" s="252"/>
      <c r="G11" s="252"/>
      <c r="H11" s="252"/>
      <c r="I11" s="252"/>
      <c r="J11" s="252"/>
      <c r="K11" s="252"/>
      <c r="L11" s="252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</row>
    <row r="12" spans="1:23" ht="21.95" customHeight="1" x14ac:dyDescent="0.25">
      <c r="A12" s="250"/>
      <c r="B12" s="250"/>
      <c r="C12" s="250"/>
      <c r="D12" s="250"/>
      <c r="E12" s="252"/>
      <c r="F12" s="252"/>
      <c r="G12" s="252"/>
      <c r="H12" s="252"/>
      <c r="I12" s="252"/>
      <c r="J12" s="252"/>
      <c r="K12" s="252"/>
      <c r="L12" s="252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</row>
    <row r="13" spans="1:23" ht="21.95" customHeight="1" x14ac:dyDescent="0.25">
      <c r="A13" s="250"/>
      <c r="B13" s="250"/>
      <c r="C13" s="250"/>
      <c r="D13" s="250"/>
      <c r="E13" s="252"/>
      <c r="F13" s="252"/>
      <c r="G13" s="252"/>
      <c r="H13" s="252"/>
      <c r="I13" s="252"/>
      <c r="J13" s="252"/>
      <c r="K13" s="252"/>
      <c r="L13" s="252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</row>
    <row r="14" spans="1:23" ht="21.95" customHeight="1" x14ac:dyDescent="0.25">
      <c r="A14" s="250"/>
      <c r="B14" s="250"/>
      <c r="C14" s="250"/>
      <c r="D14" s="250"/>
      <c r="E14" s="252"/>
      <c r="F14" s="252"/>
      <c r="G14" s="252"/>
      <c r="H14" s="252"/>
      <c r="I14" s="252"/>
      <c r="J14" s="252"/>
      <c r="K14" s="252"/>
      <c r="L14" s="252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</row>
    <row r="15" spans="1:23" ht="21.95" customHeight="1" x14ac:dyDescent="0.25">
      <c r="A15" s="250"/>
      <c r="B15" s="250"/>
      <c r="C15" s="250"/>
      <c r="D15" s="250"/>
      <c r="E15" s="252"/>
      <c r="F15" s="252"/>
      <c r="G15" s="252"/>
      <c r="H15" s="252"/>
      <c r="I15" s="252"/>
      <c r="J15" s="252"/>
      <c r="K15" s="252"/>
      <c r="L15" s="252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</row>
    <row r="16" spans="1:23" ht="21.95" customHeight="1" x14ac:dyDescent="0.25">
      <c r="A16" s="250"/>
      <c r="B16" s="250"/>
      <c r="C16" s="250"/>
      <c r="D16" s="250"/>
      <c r="E16" s="252"/>
      <c r="F16" s="252"/>
      <c r="G16" s="252"/>
      <c r="H16" s="252"/>
      <c r="I16" s="252"/>
      <c r="J16" s="252"/>
      <c r="K16" s="252"/>
      <c r="L16" s="252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</row>
    <row r="17" spans="1:23" ht="21.95" customHeight="1" x14ac:dyDescent="0.25">
      <c r="A17" s="250"/>
      <c r="B17" s="250"/>
      <c r="C17" s="250"/>
      <c r="D17" s="250"/>
      <c r="E17" s="252"/>
      <c r="F17" s="252"/>
      <c r="G17" s="252"/>
      <c r="H17" s="252"/>
      <c r="I17" s="252"/>
      <c r="J17" s="252"/>
      <c r="K17" s="252"/>
      <c r="L17" s="252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</row>
    <row r="18" spans="1:23" ht="21.95" customHeight="1" x14ac:dyDescent="0.25">
      <c r="A18" s="250"/>
      <c r="B18" s="250"/>
      <c r="C18" s="250"/>
      <c r="D18" s="250"/>
      <c r="E18" s="252"/>
      <c r="F18" s="252"/>
      <c r="G18" s="252"/>
      <c r="H18" s="252"/>
      <c r="I18" s="252"/>
      <c r="J18" s="252"/>
      <c r="K18" s="252"/>
      <c r="L18" s="252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</row>
    <row r="19" spans="1:23" ht="21.95" customHeight="1" x14ac:dyDescent="0.25">
      <c r="A19" s="250"/>
      <c r="B19" s="250"/>
      <c r="C19" s="250"/>
      <c r="D19" s="250"/>
      <c r="E19" s="252"/>
      <c r="F19" s="252"/>
      <c r="G19" s="252"/>
      <c r="H19" s="252"/>
      <c r="I19" s="252"/>
      <c r="J19" s="252"/>
      <c r="K19" s="252"/>
      <c r="L19" s="252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</row>
    <row r="20" spans="1:23" ht="21.95" customHeight="1" x14ac:dyDescent="0.25">
      <c r="A20" s="250"/>
      <c r="B20" s="250"/>
      <c r="C20" s="250"/>
      <c r="D20" s="250"/>
      <c r="E20" s="252"/>
      <c r="F20" s="252"/>
      <c r="G20" s="252"/>
      <c r="H20" s="252"/>
      <c r="I20" s="252"/>
      <c r="J20" s="252"/>
      <c r="K20" s="252"/>
      <c r="L20" s="252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</row>
    <row r="21" spans="1:23" ht="21.95" customHeight="1" x14ac:dyDescent="0.25">
      <c r="A21" s="250"/>
      <c r="B21" s="250"/>
      <c r="C21" s="250"/>
      <c r="D21" s="250"/>
      <c r="E21" s="252"/>
      <c r="F21" s="252"/>
      <c r="G21" s="252"/>
      <c r="H21" s="252"/>
      <c r="I21" s="252"/>
      <c r="J21" s="252"/>
      <c r="K21" s="252"/>
      <c r="L21" s="252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</row>
    <row r="22" spans="1:23" ht="21.95" customHeight="1" x14ac:dyDescent="0.25">
      <c r="A22" s="250"/>
      <c r="B22" s="250"/>
      <c r="C22" s="250"/>
      <c r="D22" s="250"/>
      <c r="E22" s="252"/>
      <c r="F22" s="252"/>
      <c r="G22" s="252"/>
      <c r="H22" s="252"/>
      <c r="I22" s="252"/>
      <c r="J22" s="252"/>
      <c r="K22" s="252"/>
      <c r="L22" s="252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</row>
    <row r="23" spans="1:23" ht="21.95" customHeight="1" x14ac:dyDescent="0.25">
      <c r="A23" s="250"/>
      <c r="B23" s="250"/>
      <c r="C23" s="250"/>
      <c r="D23" s="250"/>
      <c r="E23" s="253"/>
      <c r="F23" s="254"/>
      <c r="G23" s="254"/>
      <c r="H23" s="254"/>
      <c r="I23" s="254"/>
      <c r="J23" s="254"/>
      <c r="K23" s="254"/>
      <c r="L23" s="255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</row>
    <row r="24" spans="1:23" ht="21.95" customHeight="1" x14ac:dyDescent="0.25">
      <c r="A24" s="250"/>
      <c r="B24" s="250"/>
      <c r="C24" s="250"/>
      <c r="D24" s="250"/>
      <c r="E24" s="253"/>
      <c r="F24" s="254"/>
      <c r="G24" s="254"/>
      <c r="H24" s="254"/>
      <c r="I24" s="254"/>
      <c r="J24" s="254"/>
      <c r="K24" s="254"/>
      <c r="L24" s="255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</row>
    <row r="25" spans="1:23" ht="21.95" customHeight="1" x14ac:dyDescent="0.25">
      <c r="A25" s="250"/>
      <c r="B25" s="250"/>
      <c r="C25" s="250"/>
      <c r="D25" s="250"/>
      <c r="E25" s="253"/>
      <c r="F25" s="254"/>
      <c r="G25" s="254"/>
      <c r="H25" s="254"/>
      <c r="I25" s="254"/>
      <c r="J25" s="254"/>
      <c r="K25" s="254"/>
      <c r="L25" s="255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</row>
    <row r="26" spans="1:23" ht="21.95" customHeight="1" x14ac:dyDescent="0.25">
      <c r="A26" s="250"/>
      <c r="B26" s="250"/>
      <c r="C26" s="250"/>
      <c r="D26" s="250"/>
      <c r="E26" s="253"/>
      <c r="F26" s="254"/>
      <c r="G26" s="254"/>
      <c r="H26" s="254"/>
      <c r="I26" s="254"/>
      <c r="J26" s="254"/>
      <c r="K26" s="254"/>
      <c r="L26" s="255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</row>
    <row r="27" spans="1:23" ht="21.95" customHeight="1" x14ac:dyDescent="0.25">
      <c r="A27" s="250"/>
      <c r="B27" s="250"/>
      <c r="C27" s="250"/>
      <c r="D27" s="250"/>
      <c r="E27" s="253"/>
      <c r="F27" s="254"/>
      <c r="G27" s="254"/>
      <c r="H27" s="254"/>
      <c r="I27" s="254"/>
      <c r="J27" s="254"/>
      <c r="K27" s="254"/>
      <c r="L27" s="255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</row>
    <row r="28" spans="1:23" ht="21.95" customHeight="1" x14ac:dyDescent="0.25">
      <c r="A28" s="250"/>
      <c r="B28" s="250"/>
      <c r="C28" s="250"/>
      <c r="D28" s="250"/>
      <c r="E28" s="253"/>
      <c r="F28" s="254"/>
      <c r="G28" s="254"/>
      <c r="H28" s="254"/>
      <c r="I28" s="254"/>
      <c r="J28" s="254"/>
      <c r="K28" s="254"/>
      <c r="L28" s="255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</row>
    <row r="29" spans="1:23" ht="21.95" customHeight="1" x14ac:dyDescent="0.25">
      <c r="A29" s="250"/>
      <c r="B29" s="250"/>
      <c r="C29" s="250"/>
      <c r="D29" s="250"/>
      <c r="E29" s="253"/>
      <c r="F29" s="254"/>
      <c r="G29" s="254"/>
      <c r="H29" s="254"/>
      <c r="I29" s="254"/>
      <c r="J29" s="254"/>
      <c r="K29" s="254"/>
      <c r="L29" s="255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</row>
    <row r="30" spans="1:23" ht="21.95" customHeight="1" x14ac:dyDescent="0.25">
      <c r="A30" s="250"/>
      <c r="B30" s="250"/>
      <c r="C30" s="250"/>
      <c r="D30" s="250"/>
      <c r="E30" s="256"/>
      <c r="F30" s="257"/>
      <c r="G30" s="257"/>
      <c r="H30" s="257"/>
      <c r="I30" s="257"/>
      <c r="J30" s="257"/>
      <c r="K30" s="257"/>
      <c r="L30" s="258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</row>
  </sheetData>
  <sheetProtection sheet="1" objects="1" scenarios="1"/>
  <mergeCells count="13">
    <mergeCell ref="A1:D30"/>
    <mergeCell ref="E23:L23"/>
    <mergeCell ref="E24:L24"/>
    <mergeCell ref="E25:L25"/>
    <mergeCell ref="E1:L1"/>
    <mergeCell ref="E2:L2"/>
    <mergeCell ref="M1:W30"/>
    <mergeCell ref="E4:L22"/>
    <mergeCell ref="E26:L26"/>
    <mergeCell ref="E27:L27"/>
    <mergeCell ref="E28:L28"/>
    <mergeCell ref="E29:L29"/>
    <mergeCell ref="E30:L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2776-8D84-4979-9232-37BBA62D77B6}">
  <dimension ref="A1:F42"/>
  <sheetViews>
    <sheetView workbookViewId="0"/>
  </sheetViews>
  <sheetFormatPr baseColWidth="10" defaultRowHeight="15" x14ac:dyDescent="0.25"/>
  <sheetData>
    <row r="1" spans="1:6" x14ac:dyDescent="0.25">
      <c r="A1" s="1" t="s">
        <v>145</v>
      </c>
      <c r="C1" t="s">
        <v>1</v>
      </c>
      <c r="D1" t="s">
        <v>2</v>
      </c>
      <c r="E1" t="s">
        <v>3</v>
      </c>
      <c r="F1" t="s">
        <v>87</v>
      </c>
    </row>
    <row r="2" spans="1:6" x14ac:dyDescent="0.25">
      <c r="A2" t="str">
        <f>Seguimiento!F12</f>
        <v>No Cursada</v>
      </c>
      <c r="C2" t="s">
        <v>5</v>
      </c>
      <c r="D2" t="s">
        <v>6</v>
      </c>
      <c r="E2" t="s">
        <v>6</v>
      </c>
      <c r="F2">
        <v>12</v>
      </c>
    </row>
    <row r="3" spans="1:6" x14ac:dyDescent="0.25">
      <c r="A3" t="str">
        <f>Seguimiento!F13</f>
        <v>No Cursada</v>
      </c>
      <c r="C3" t="s">
        <v>7</v>
      </c>
      <c r="D3" t="s">
        <v>6</v>
      </c>
      <c r="E3" t="s">
        <v>6</v>
      </c>
      <c r="F3">
        <v>13</v>
      </c>
    </row>
    <row r="4" spans="1:6" x14ac:dyDescent="0.25">
      <c r="A4" t="str">
        <f>Seguimiento!F14</f>
        <v>No Cursada</v>
      </c>
      <c r="C4" t="s">
        <v>8</v>
      </c>
      <c r="D4" t="s">
        <v>6</v>
      </c>
      <c r="E4" t="s">
        <v>6</v>
      </c>
      <c r="F4">
        <v>14</v>
      </c>
    </row>
    <row r="5" spans="1:6" x14ac:dyDescent="0.25">
      <c r="A5" t="str">
        <f>Seguimiento!F15</f>
        <v>No Cursada</v>
      </c>
      <c r="C5" t="s">
        <v>9</v>
      </c>
      <c r="D5" t="s">
        <v>6</v>
      </c>
      <c r="E5" t="s">
        <v>6</v>
      </c>
      <c r="F5">
        <v>15</v>
      </c>
    </row>
    <row r="6" spans="1:6" x14ac:dyDescent="0.25">
      <c r="A6" t="str">
        <f>Seguimiento!F16</f>
        <v>No Cursada</v>
      </c>
      <c r="C6" t="s">
        <v>10</v>
      </c>
      <c r="D6" t="s">
        <v>6</v>
      </c>
      <c r="E6" t="s">
        <v>6</v>
      </c>
      <c r="F6">
        <v>16</v>
      </c>
    </row>
    <row r="7" spans="1:6" x14ac:dyDescent="0.25">
      <c r="A7" t="str">
        <f>Seguimiento!F17</f>
        <v>No Cursada</v>
      </c>
      <c r="C7" t="s">
        <v>11</v>
      </c>
      <c r="D7" t="s">
        <v>6</v>
      </c>
      <c r="E7" t="s">
        <v>6</v>
      </c>
      <c r="F7">
        <v>17</v>
      </c>
    </row>
    <row r="8" spans="1:6" x14ac:dyDescent="0.25">
      <c r="A8" t="str">
        <f>Seguimiento!F18</f>
        <v>No Cursada</v>
      </c>
      <c r="C8" t="s">
        <v>12</v>
      </c>
      <c r="D8" t="s">
        <v>6</v>
      </c>
      <c r="E8" t="s">
        <v>6</v>
      </c>
      <c r="F8">
        <v>18</v>
      </c>
    </row>
    <row r="9" spans="1:6" x14ac:dyDescent="0.25">
      <c r="A9" t="str">
        <f>Seguimiento!F19</f>
        <v>No Cursada</v>
      </c>
      <c r="C9" t="s">
        <v>13</v>
      </c>
      <c r="D9" t="s">
        <v>6</v>
      </c>
      <c r="E9" t="s">
        <v>6</v>
      </c>
      <c r="F9">
        <v>19</v>
      </c>
    </row>
    <row r="10" spans="1:6" x14ac:dyDescent="0.25">
      <c r="A10" t="str">
        <f>Seguimiento!F20</f>
        <v>No Cursada</v>
      </c>
      <c r="C10" t="s">
        <v>14</v>
      </c>
      <c r="D10" t="s">
        <v>15</v>
      </c>
      <c r="E10" t="s">
        <v>6</v>
      </c>
      <c r="F10">
        <v>20</v>
      </c>
    </row>
    <row r="11" spans="1:6" x14ac:dyDescent="0.25">
      <c r="A11" t="str">
        <f>Seguimiento!F21</f>
        <v>No Cursada</v>
      </c>
      <c r="C11" t="s">
        <v>16</v>
      </c>
      <c r="D11" t="s">
        <v>17</v>
      </c>
      <c r="E11" t="s">
        <v>6</v>
      </c>
      <c r="F11">
        <v>21</v>
      </c>
    </row>
    <row r="12" spans="1:6" x14ac:dyDescent="0.25">
      <c r="A12" t="str">
        <f>Seguimiento!F22</f>
        <v>No Cursada</v>
      </c>
      <c r="C12" t="s">
        <v>18</v>
      </c>
      <c r="D12">
        <v>6</v>
      </c>
      <c r="E12" t="s">
        <v>6</v>
      </c>
      <c r="F12">
        <v>22</v>
      </c>
    </row>
    <row r="13" spans="1:6" x14ac:dyDescent="0.25">
      <c r="A13" t="str">
        <f>Seguimiento!F23</f>
        <v>No Cursada</v>
      </c>
      <c r="C13" t="s">
        <v>19</v>
      </c>
      <c r="D13" t="s">
        <v>17</v>
      </c>
      <c r="E13" t="s">
        <v>6</v>
      </c>
      <c r="F13">
        <v>23</v>
      </c>
    </row>
    <row r="14" spans="1:6" x14ac:dyDescent="0.25">
      <c r="A14" t="str">
        <f>Seguimiento!F24</f>
        <v>No Cursada</v>
      </c>
      <c r="C14" t="s">
        <v>21</v>
      </c>
      <c r="D14" t="s">
        <v>22</v>
      </c>
      <c r="E14" t="s">
        <v>6</v>
      </c>
      <c r="F14">
        <v>24</v>
      </c>
    </row>
    <row r="15" spans="1:6" x14ac:dyDescent="0.25">
      <c r="A15" t="str">
        <f>Seguimiento!F25</f>
        <v>No Cursada</v>
      </c>
      <c r="C15" t="s">
        <v>23</v>
      </c>
      <c r="D15">
        <v>6</v>
      </c>
      <c r="E15" t="s">
        <v>6</v>
      </c>
      <c r="F15">
        <v>25</v>
      </c>
    </row>
    <row r="16" spans="1:6" x14ac:dyDescent="0.25">
      <c r="A16" t="str">
        <f>Seguimiento!F26</f>
        <v>No Cursada</v>
      </c>
      <c r="C16" t="s">
        <v>24</v>
      </c>
      <c r="D16" t="s">
        <v>25</v>
      </c>
      <c r="E16" t="s">
        <v>6</v>
      </c>
      <c r="F16">
        <v>26</v>
      </c>
    </row>
    <row r="17" spans="1:6" x14ac:dyDescent="0.25">
      <c r="A17" t="str">
        <f>Seguimiento!F27</f>
        <v>No Cursada</v>
      </c>
      <c r="C17" t="s">
        <v>26</v>
      </c>
      <c r="D17" t="s">
        <v>6</v>
      </c>
      <c r="E17" t="s">
        <v>6</v>
      </c>
      <c r="F17">
        <v>27</v>
      </c>
    </row>
    <row r="18" spans="1:6" x14ac:dyDescent="0.25">
      <c r="A18" t="str">
        <f>Seguimiento!F28</f>
        <v>No Cursada</v>
      </c>
      <c r="C18" t="s">
        <v>27</v>
      </c>
      <c r="D18" t="s">
        <v>28</v>
      </c>
      <c r="E18" t="s">
        <v>29</v>
      </c>
      <c r="F18">
        <v>28</v>
      </c>
    </row>
    <row r="19" spans="1:6" x14ac:dyDescent="0.25">
      <c r="A19" t="str">
        <f>Seguimiento!F29</f>
        <v>No Cursada</v>
      </c>
      <c r="C19" t="s">
        <v>30</v>
      </c>
      <c r="D19" t="s">
        <v>31</v>
      </c>
      <c r="E19" t="s">
        <v>32</v>
      </c>
      <c r="F19">
        <v>29</v>
      </c>
    </row>
    <row r="20" spans="1:6" x14ac:dyDescent="0.25">
      <c r="A20" t="str">
        <f>Seguimiento!F30</f>
        <v>No Cursada</v>
      </c>
      <c r="C20" t="s">
        <v>33</v>
      </c>
      <c r="D20">
        <v>12</v>
      </c>
      <c r="E20" t="s">
        <v>17</v>
      </c>
      <c r="F20">
        <v>30</v>
      </c>
    </row>
    <row r="21" spans="1:6" x14ac:dyDescent="0.25">
      <c r="A21" t="str">
        <f>Seguimiento!F31</f>
        <v>No Cursada</v>
      </c>
      <c r="C21" t="s">
        <v>34</v>
      </c>
      <c r="D21" t="s">
        <v>35</v>
      </c>
      <c r="E21" t="s">
        <v>15</v>
      </c>
      <c r="F21">
        <v>31</v>
      </c>
    </row>
    <row r="22" spans="1:6" x14ac:dyDescent="0.25">
      <c r="A22" t="str">
        <f>Seguimiento!F32</f>
        <v>No Cursada</v>
      </c>
      <c r="C22" t="s">
        <v>36</v>
      </c>
      <c r="D22" t="s">
        <v>37</v>
      </c>
      <c r="E22" t="s">
        <v>38</v>
      </c>
      <c r="F22">
        <v>32</v>
      </c>
    </row>
    <row r="23" spans="1:6" x14ac:dyDescent="0.25">
      <c r="A23" t="str">
        <f>Seguimiento!F33</f>
        <v>No Cursada</v>
      </c>
      <c r="C23" t="s">
        <v>40</v>
      </c>
      <c r="D23" t="s">
        <v>37</v>
      </c>
      <c r="E23" t="s">
        <v>38</v>
      </c>
      <c r="F23">
        <v>33</v>
      </c>
    </row>
    <row r="24" spans="1:6" x14ac:dyDescent="0.25">
      <c r="A24" t="str">
        <f>Seguimiento!F34</f>
        <v>No Cursada</v>
      </c>
      <c r="C24" t="s">
        <v>41</v>
      </c>
      <c r="D24" t="s">
        <v>42</v>
      </c>
      <c r="E24" t="s">
        <v>43</v>
      </c>
      <c r="F24">
        <v>34</v>
      </c>
    </row>
    <row r="25" spans="1:6" x14ac:dyDescent="0.25">
      <c r="A25" t="str">
        <f>Seguimiento!F35</f>
        <v>No Cursada</v>
      </c>
      <c r="C25" t="s">
        <v>44</v>
      </c>
      <c r="D25" t="s">
        <v>45</v>
      </c>
      <c r="E25">
        <v>6</v>
      </c>
      <c r="F25">
        <v>35</v>
      </c>
    </row>
    <row r="26" spans="1:6" x14ac:dyDescent="0.25">
      <c r="A26" t="str">
        <f>Seguimiento!F36</f>
        <v>No Cursada</v>
      </c>
      <c r="C26" t="s">
        <v>46</v>
      </c>
      <c r="D26" t="s">
        <v>47</v>
      </c>
      <c r="E26" t="s">
        <v>48</v>
      </c>
      <c r="F26">
        <v>36</v>
      </c>
    </row>
    <row r="27" spans="1:6" x14ac:dyDescent="0.25">
      <c r="A27" t="str">
        <f>Seguimiento!F37</f>
        <v>No Cursada</v>
      </c>
      <c r="C27" t="s">
        <v>49</v>
      </c>
      <c r="D27">
        <v>40</v>
      </c>
      <c r="E27" t="s">
        <v>6</v>
      </c>
      <c r="F27">
        <v>37</v>
      </c>
    </row>
    <row r="28" spans="1:6" x14ac:dyDescent="0.25">
      <c r="A28" t="str">
        <f>Seguimiento!F38</f>
        <v>No Cursada</v>
      </c>
      <c r="C28" t="s">
        <v>51</v>
      </c>
      <c r="D28" t="s">
        <v>52</v>
      </c>
      <c r="E28" t="s">
        <v>53</v>
      </c>
      <c r="F28">
        <v>38</v>
      </c>
    </row>
    <row r="29" spans="1:6" x14ac:dyDescent="0.25">
      <c r="A29" t="str">
        <f>Seguimiento!F39</f>
        <v>No Cursada</v>
      </c>
      <c r="C29" t="s">
        <v>54</v>
      </c>
      <c r="D29" t="s">
        <v>55</v>
      </c>
      <c r="E29" t="s">
        <v>37</v>
      </c>
      <c r="F29">
        <v>39</v>
      </c>
    </row>
    <row r="30" spans="1:6" x14ac:dyDescent="0.25">
      <c r="A30" t="str">
        <f>Seguimiento!F40</f>
        <v>No Cursada</v>
      </c>
      <c r="C30" t="s">
        <v>56</v>
      </c>
      <c r="D30" t="s">
        <v>57</v>
      </c>
      <c r="E30" t="s">
        <v>37</v>
      </c>
      <c r="F30">
        <v>40</v>
      </c>
    </row>
    <row r="31" spans="1:6" x14ac:dyDescent="0.25">
      <c r="A31" t="str">
        <f>Seguimiento!F41</f>
        <v>No Cursada</v>
      </c>
      <c r="C31" t="s">
        <v>58</v>
      </c>
      <c r="D31">
        <v>9</v>
      </c>
      <c r="E31" t="s">
        <v>59</v>
      </c>
      <c r="F31">
        <v>41</v>
      </c>
    </row>
    <row r="32" spans="1:6" x14ac:dyDescent="0.25">
      <c r="A32" t="str">
        <f>Seguimiento!F42</f>
        <v>No Cursada</v>
      </c>
      <c r="C32" t="s">
        <v>60</v>
      </c>
      <c r="D32" t="s">
        <v>61</v>
      </c>
      <c r="E32" t="s">
        <v>62</v>
      </c>
      <c r="F32">
        <v>42</v>
      </c>
    </row>
    <row r="33" spans="1:6" x14ac:dyDescent="0.25">
      <c r="A33" t="str">
        <f>Seguimiento!F43</f>
        <v>No Cursada</v>
      </c>
      <c r="C33" t="s">
        <v>63</v>
      </c>
      <c r="D33" t="s">
        <v>57</v>
      </c>
      <c r="E33" t="s">
        <v>64</v>
      </c>
      <c r="F33">
        <v>43</v>
      </c>
    </row>
    <row r="34" spans="1:6" x14ac:dyDescent="0.25">
      <c r="A34" t="str">
        <f>Seguimiento!F44</f>
        <v>No Cursada</v>
      </c>
      <c r="C34" t="s">
        <v>65</v>
      </c>
      <c r="D34">
        <v>10</v>
      </c>
      <c r="E34">
        <v>4</v>
      </c>
      <c r="F34">
        <v>44</v>
      </c>
    </row>
    <row r="35" spans="1:6" x14ac:dyDescent="0.25">
      <c r="A35" t="str">
        <f>Seguimiento!F45</f>
        <v>No Cursada</v>
      </c>
      <c r="C35" t="s">
        <v>66</v>
      </c>
      <c r="D35">
        <v>10</v>
      </c>
      <c r="E35" t="s">
        <v>67</v>
      </c>
      <c r="F35">
        <v>45</v>
      </c>
    </row>
    <row r="36" spans="1:6" x14ac:dyDescent="0.25">
      <c r="A36" t="str">
        <f>Seguimiento!F46</f>
        <v>No Cursada</v>
      </c>
      <c r="C36" t="s">
        <v>69</v>
      </c>
      <c r="D36" t="s">
        <v>70</v>
      </c>
      <c r="E36" t="s">
        <v>71</v>
      </c>
      <c r="F36">
        <v>46</v>
      </c>
    </row>
    <row r="37" spans="1:6" x14ac:dyDescent="0.25">
      <c r="A37" t="str">
        <f>Seguimiento!F47</f>
        <v>No Cursada</v>
      </c>
      <c r="C37" t="s">
        <v>72</v>
      </c>
      <c r="D37" t="s">
        <v>73</v>
      </c>
      <c r="E37" t="s">
        <v>74</v>
      </c>
      <c r="F37">
        <v>47</v>
      </c>
    </row>
    <row r="38" spans="1:6" x14ac:dyDescent="0.25">
      <c r="A38" t="str">
        <f>Seguimiento!F48</f>
        <v>No Cursada</v>
      </c>
      <c r="C38" t="s">
        <v>75</v>
      </c>
      <c r="D38" t="s">
        <v>76</v>
      </c>
      <c r="E38" t="s">
        <v>77</v>
      </c>
      <c r="F38">
        <v>48</v>
      </c>
    </row>
    <row r="39" spans="1:6" x14ac:dyDescent="0.25">
      <c r="A39" t="str">
        <f>Seguimiento!F49</f>
        <v>No Cursada</v>
      </c>
      <c r="C39" t="s">
        <v>78</v>
      </c>
      <c r="D39" t="s">
        <v>79</v>
      </c>
      <c r="E39" t="s">
        <v>35</v>
      </c>
      <c r="F39">
        <v>49</v>
      </c>
    </row>
    <row r="40" spans="1:6" x14ac:dyDescent="0.25">
      <c r="A40" t="str">
        <f>Seguimiento!F50</f>
        <v>No Cursada</v>
      </c>
      <c r="C40" t="s">
        <v>80</v>
      </c>
      <c r="D40" t="s">
        <v>81</v>
      </c>
      <c r="E40">
        <v>9</v>
      </c>
      <c r="F40">
        <v>50</v>
      </c>
    </row>
    <row r="41" spans="1:6" x14ac:dyDescent="0.25">
      <c r="A41" t="str">
        <f>Seguimiento!F51</f>
        <v>No Cursada</v>
      </c>
      <c r="C41" t="s">
        <v>82</v>
      </c>
      <c r="D41">
        <v>26</v>
      </c>
      <c r="E41" t="s">
        <v>83</v>
      </c>
      <c r="F41">
        <v>51</v>
      </c>
    </row>
    <row r="42" spans="1:6" x14ac:dyDescent="0.25">
      <c r="A42" t="str">
        <f>Seguimiento!F52</f>
        <v>No Cursada</v>
      </c>
      <c r="C42" t="s">
        <v>84</v>
      </c>
      <c r="D42" t="s">
        <v>85</v>
      </c>
      <c r="E42" t="s">
        <v>86</v>
      </c>
      <c r="F4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Seguimiento</vt:lpstr>
      <vt:lpstr>Finales</vt:lpstr>
      <vt:lpstr>Nota al Estudiante</vt:lpstr>
      <vt:lpstr>Datos</vt:lpstr>
      <vt:lpstr>Seguimiento!Área_de_impresión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Ruben Zalazar</dc:creator>
  <cp:lastModifiedBy>Lautaro Ruben Zalazar</cp:lastModifiedBy>
  <dcterms:created xsi:type="dcterms:W3CDTF">2026-03-28T23:03:38Z</dcterms:created>
  <dcterms:modified xsi:type="dcterms:W3CDTF">2026-05-28T16:04:11Z</dcterms:modified>
</cp:coreProperties>
</file>